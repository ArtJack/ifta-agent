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FD5A3694DA4A4191/"/>
    </mc:Choice>
  </mc:AlternateContent>
  <xr:revisionPtr revIDLastSave="0" documentId="8_{FCCD0B62-7989-CB40-8DFB-613BBD149DD1}" xr6:coauthVersionLast="47" xr6:coauthVersionMax="47" xr10:uidLastSave="{00000000-0000-0000-0000-000000000000}"/>
  <bookViews>
    <workbookView xWindow="0" yWindow="500" windowWidth="28800" windowHeight="16020" firstSheet="1" activeTab="7" xr2:uid="{084B1765-E233-409D-A9C3-1B47CE250DFA}"/>
  </bookViews>
  <sheets>
    <sheet name="Q1" sheetId="2" r:id="rId1"/>
    <sheet name="Q2" sheetId="3" r:id="rId2"/>
    <sheet name="Q2 FUEL USED" sheetId="4" r:id="rId3"/>
    <sheet name="Q3 Fuel USED" sheetId="5" r:id="rId4"/>
    <sheet name="Q3" sheetId="6" r:id="rId5"/>
    <sheet name="Q4" sheetId="7" r:id="rId6"/>
    <sheet name="RENEWAL REGISTRATION 2026" sheetId="8" r:id="rId7"/>
    <sheet name="Q1 2026 " sheetId="11" r:id="rId8"/>
    <sheet name="Q2 2026 " sheetId="10" r:id="rId9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57" i="11" l="1"/>
  <c r="AM57" i="11"/>
  <c r="AL57" i="11"/>
  <c r="AK57" i="11"/>
  <c r="AK58" i="11"/>
  <c r="AK59" i="11"/>
  <c r="AL16" i="11"/>
  <c r="AK16" i="11"/>
  <c r="C54" i="11"/>
  <c r="H54" i="11"/>
  <c r="M54" i="11"/>
  <c r="R54" i="11"/>
  <c r="W54" i="11"/>
  <c r="AB54" i="11"/>
  <c r="AG54" i="11"/>
  <c r="AK54" i="11"/>
  <c r="D54" i="11"/>
  <c r="I54" i="11"/>
  <c r="N54" i="11"/>
  <c r="S54" i="11"/>
  <c r="X54" i="11"/>
  <c r="AC54" i="11"/>
  <c r="AH54" i="11"/>
  <c r="AL54" i="11"/>
  <c r="AN54" i="11"/>
  <c r="AM16" i="11"/>
  <c r="AN16" i="11"/>
  <c r="AP16" i="11"/>
  <c r="AL17" i="11"/>
  <c r="AK17" i="11"/>
  <c r="AM17" i="11"/>
  <c r="AN17" i="11"/>
  <c r="AP17" i="11"/>
  <c r="AL18" i="11"/>
  <c r="AK18" i="11"/>
  <c r="AM18" i="11"/>
  <c r="AN18" i="11"/>
  <c r="AP18" i="11"/>
  <c r="AL19" i="11"/>
  <c r="AK19" i="11"/>
  <c r="AM19" i="11"/>
  <c r="AN19" i="11"/>
  <c r="AP19" i="11"/>
  <c r="AL20" i="11"/>
  <c r="AK20" i="11"/>
  <c r="AM20" i="11"/>
  <c r="AN20" i="11"/>
  <c r="AP20" i="11"/>
  <c r="AL21" i="11"/>
  <c r="AK21" i="11"/>
  <c r="AM21" i="11"/>
  <c r="AN21" i="11"/>
  <c r="AP21" i="11"/>
  <c r="AL22" i="11"/>
  <c r="AK22" i="11"/>
  <c r="AM22" i="11"/>
  <c r="AN22" i="11"/>
  <c r="AP22" i="11"/>
  <c r="AP23" i="11"/>
  <c r="AP24" i="11"/>
  <c r="AP25" i="11"/>
  <c r="AP26" i="11"/>
  <c r="AL27" i="11"/>
  <c r="AK27" i="11"/>
  <c r="AM27" i="11"/>
  <c r="AN27" i="11"/>
  <c r="AP27" i="11"/>
  <c r="AL28" i="11"/>
  <c r="AK28" i="11"/>
  <c r="AM28" i="11"/>
  <c r="AN28" i="11"/>
  <c r="AP28" i="11"/>
  <c r="AL29" i="11"/>
  <c r="AK29" i="11"/>
  <c r="AM29" i="11"/>
  <c r="AN29" i="11"/>
  <c r="AP29" i="11"/>
  <c r="AL30" i="11"/>
  <c r="AK30" i="11"/>
  <c r="AM30" i="11"/>
  <c r="AN30" i="11"/>
  <c r="AP30" i="11"/>
  <c r="AL31" i="11"/>
  <c r="AK31" i="11"/>
  <c r="AM31" i="11"/>
  <c r="AN31" i="11"/>
  <c r="AP31" i="11"/>
  <c r="AL32" i="11"/>
  <c r="AK32" i="11"/>
  <c r="AM32" i="11"/>
  <c r="AN32" i="11"/>
  <c r="AP32" i="11"/>
  <c r="AL33" i="11"/>
  <c r="AK33" i="11"/>
  <c r="AM33" i="11"/>
  <c r="AN33" i="11"/>
  <c r="AP33" i="11"/>
  <c r="AP34" i="11"/>
  <c r="AL35" i="11"/>
  <c r="AK35" i="11"/>
  <c r="AM35" i="11"/>
  <c r="AN35" i="11"/>
  <c r="AP35" i="11"/>
  <c r="AL36" i="11"/>
  <c r="AK36" i="11"/>
  <c r="AM36" i="11"/>
  <c r="AN36" i="11"/>
  <c r="AP36" i="11"/>
  <c r="AP37" i="11"/>
  <c r="AL38" i="11"/>
  <c r="AK38" i="11"/>
  <c r="AM38" i="11"/>
  <c r="AN38" i="11"/>
  <c r="AP38" i="11"/>
  <c r="AL39" i="11"/>
  <c r="AK39" i="11"/>
  <c r="AM39" i="11"/>
  <c r="AN39" i="11"/>
  <c r="AP39" i="11"/>
  <c r="AL40" i="11"/>
  <c r="AK40" i="11"/>
  <c r="AM40" i="11"/>
  <c r="AN40" i="11"/>
  <c r="AP40" i="11"/>
  <c r="AL41" i="11"/>
  <c r="AK41" i="11"/>
  <c r="AM41" i="11"/>
  <c r="AN41" i="11"/>
  <c r="AP41" i="11"/>
  <c r="AP42" i="11"/>
  <c r="AL43" i="11"/>
  <c r="AK43" i="11"/>
  <c r="AM43" i="11"/>
  <c r="AN43" i="11"/>
  <c r="AP43" i="11"/>
  <c r="AL44" i="11"/>
  <c r="AK44" i="11"/>
  <c r="AM44" i="11"/>
  <c r="AN44" i="11"/>
  <c r="AP44" i="11"/>
  <c r="AL45" i="11"/>
  <c r="AK45" i="11"/>
  <c r="AM45" i="11"/>
  <c r="AN45" i="11"/>
  <c r="AP45" i="11"/>
  <c r="AL46" i="11"/>
  <c r="AK46" i="11"/>
  <c r="AM46" i="11"/>
  <c r="AN46" i="11"/>
  <c r="AP46" i="11"/>
  <c r="AL47" i="11"/>
  <c r="AK47" i="11"/>
  <c r="AM47" i="11"/>
  <c r="AN47" i="11"/>
  <c r="AP47" i="11"/>
  <c r="AL48" i="11"/>
  <c r="AK48" i="11"/>
  <c r="AM48" i="11"/>
  <c r="AN48" i="11"/>
  <c r="AP48" i="11"/>
  <c r="AP49" i="11"/>
  <c r="AL50" i="11"/>
  <c r="AK50" i="11"/>
  <c r="AM50" i="11"/>
  <c r="AN50" i="11"/>
  <c r="AP50" i="11"/>
  <c r="AL51" i="11"/>
  <c r="AK51" i="11"/>
  <c r="AM51" i="11"/>
  <c r="AN51" i="11"/>
  <c r="AP51" i="11"/>
  <c r="AP52" i="11"/>
  <c r="AL53" i="11"/>
  <c r="AM53" i="11"/>
  <c r="AN53" i="11"/>
  <c r="AP53" i="11"/>
  <c r="AP54" i="11"/>
  <c r="AP55" i="11"/>
  <c r="AL7" i="11"/>
  <c r="AK7" i="11"/>
  <c r="AM7" i="11"/>
  <c r="AN7" i="11"/>
  <c r="AP7" i="11"/>
  <c r="AL8" i="11"/>
  <c r="AK8" i="11"/>
  <c r="AM8" i="11"/>
  <c r="AN8" i="11"/>
  <c r="AP8" i="11"/>
  <c r="AL9" i="11"/>
  <c r="AK9" i="11"/>
  <c r="AM9" i="11"/>
  <c r="AN9" i="11"/>
  <c r="AP9" i="11"/>
  <c r="AL10" i="11"/>
  <c r="AK10" i="11"/>
  <c r="AM10" i="11"/>
  <c r="AN10" i="11"/>
  <c r="AP10" i="11"/>
  <c r="AL11" i="11"/>
  <c r="AK11" i="11"/>
  <c r="AM11" i="11"/>
  <c r="AN11" i="11"/>
  <c r="AP11" i="11"/>
  <c r="AP12" i="11"/>
  <c r="AP13" i="11"/>
  <c r="AL14" i="11"/>
  <c r="AK14" i="11"/>
  <c r="AM14" i="11"/>
  <c r="AN14" i="11"/>
  <c r="AP14" i="11"/>
  <c r="AL15" i="11"/>
  <c r="AK15" i="11"/>
  <c r="AM15" i="11"/>
  <c r="AN15" i="11"/>
  <c r="AP15" i="11"/>
  <c r="AP59" i="11"/>
  <c r="AP60" i="11"/>
  <c r="AP61" i="11"/>
  <c r="AP62" i="11"/>
  <c r="AK12" i="11"/>
  <c r="AK13" i="11"/>
  <c r="AK23" i="11"/>
  <c r="AK24" i="11"/>
  <c r="AK25" i="11"/>
  <c r="AK26" i="11"/>
  <c r="AK34" i="11"/>
  <c r="AK37" i="11"/>
  <c r="AK42" i="11"/>
  <c r="AK49" i="11"/>
  <c r="AK52" i="11"/>
  <c r="AK53" i="11"/>
  <c r="AK55" i="11"/>
  <c r="AK56" i="11"/>
  <c r="AK60" i="11"/>
  <c r="AK61" i="11"/>
  <c r="AK62" i="11"/>
  <c r="AL52" i="11"/>
  <c r="AM52" i="11"/>
  <c r="AM49" i="11"/>
  <c r="AL49" i="11"/>
  <c r="AM42" i="11"/>
  <c r="AL42" i="11"/>
  <c r="AM34" i="11"/>
  <c r="AL34" i="11"/>
  <c r="AM25" i="11"/>
  <c r="AL25" i="11"/>
  <c r="AM26" i="11"/>
  <c r="AL26" i="11"/>
  <c r="AM24" i="11"/>
  <c r="AL24" i="11"/>
  <c r="AM23" i="11"/>
  <c r="AL23" i="11"/>
  <c r="AM13" i="11"/>
  <c r="AL13" i="11"/>
  <c r="AM12" i="11"/>
  <c r="AL12" i="11"/>
  <c r="AL55" i="11"/>
  <c r="AL56" i="11"/>
  <c r="AL58" i="11"/>
  <c r="AL59" i="11"/>
  <c r="AL60" i="11"/>
  <c r="AL61" i="11"/>
  <c r="AL62" i="11"/>
  <c r="J54" i="11"/>
  <c r="AM62" i="11"/>
  <c r="AM61" i="11"/>
  <c r="AM60" i="11"/>
  <c r="AM59" i="11"/>
  <c r="AM58" i="11"/>
  <c r="AN56" i="11"/>
  <c r="AM56" i="11"/>
  <c r="AM55" i="11"/>
  <c r="AM54" i="11"/>
  <c r="AI54" i="11"/>
  <c r="AD54" i="11"/>
  <c r="Y54" i="11"/>
  <c r="T54" i="11"/>
  <c r="O54" i="11"/>
  <c r="E54" i="11"/>
  <c r="AG42" i="10"/>
  <c r="AH42" i="10"/>
  <c r="AI42" i="10"/>
  <c r="AB42" i="10"/>
  <c r="AC42" i="10"/>
  <c r="AD42" i="10"/>
  <c r="X42" i="10"/>
  <c r="W42" i="10"/>
  <c r="Y42" i="10"/>
  <c r="R42" i="10"/>
  <c r="C42" i="10"/>
  <c r="H42" i="10"/>
  <c r="M42" i="10"/>
  <c r="AK42" i="10"/>
  <c r="AL40" i="10"/>
  <c r="AL7" i="10"/>
  <c r="AL8" i="10"/>
  <c r="AL9" i="10"/>
  <c r="AL10" i="10"/>
  <c r="AL11" i="10"/>
  <c r="AL12" i="10"/>
  <c r="AL13" i="10"/>
  <c r="AL14" i="10"/>
  <c r="AL15" i="10"/>
  <c r="AL16" i="10"/>
  <c r="AL17" i="10"/>
  <c r="AL18" i="10"/>
  <c r="AL19" i="10"/>
  <c r="AL20" i="10"/>
  <c r="AL21" i="10"/>
  <c r="AL22" i="10"/>
  <c r="AL23" i="10"/>
  <c r="AL24" i="10"/>
  <c r="AL25" i="10"/>
  <c r="AL26" i="10"/>
  <c r="AL27" i="10"/>
  <c r="AL28" i="10"/>
  <c r="AL29" i="10"/>
  <c r="AL30" i="10"/>
  <c r="AL31" i="10"/>
  <c r="AL32" i="10"/>
  <c r="AL33" i="10"/>
  <c r="AL34" i="10"/>
  <c r="AL35" i="10"/>
  <c r="AL36" i="10"/>
  <c r="AL37" i="10"/>
  <c r="AL38" i="10"/>
  <c r="AL39" i="10"/>
  <c r="AL41" i="10"/>
  <c r="AL42" i="10"/>
  <c r="AN42" i="10"/>
  <c r="AK7" i="10"/>
  <c r="AM7" i="10"/>
  <c r="V48" i="7"/>
  <c r="V47" i="7"/>
  <c r="V46" i="7"/>
  <c r="W46" i="7"/>
  <c r="I43" i="7"/>
  <c r="R43" i="7"/>
  <c r="S43" i="7"/>
  <c r="N43" i="7"/>
  <c r="M43" i="7"/>
  <c r="H43" i="7"/>
  <c r="J43" i="7"/>
  <c r="D43" i="7"/>
  <c r="C43" i="7"/>
  <c r="V42" i="7"/>
  <c r="W42" i="7"/>
  <c r="X42" i="7"/>
  <c r="AA42" i="7"/>
  <c r="L43" i="8"/>
  <c r="AP49" i="10"/>
  <c r="AM49" i="10"/>
  <c r="AL49" i="10"/>
  <c r="AK49" i="10"/>
  <c r="AP48" i="10"/>
  <c r="AM48" i="10"/>
  <c r="AL48" i="10"/>
  <c r="AK48" i="10"/>
  <c r="AP47" i="10"/>
  <c r="AM47" i="10"/>
  <c r="AL47" i="10"/>
  <c r="AK47" i="10"/>
  <c r="AP46" i="10"/>
  <c r="AM46" i="10"/>
  <c r="AL46" i="10"/>
  <c r="AK46" i="10"/>
  <c r="AM45" i="10"/>
  <c r="AL45" i="10"/>
  <c r="AK45" i="10"/>
  <c r="AN44" i="10"/>
  <c r="AM44" i="10"/>
  <c r="AL44" i="10"/>
  <c r="AK44" i="10"/>
  <c r="AM43" i="10"/>
  <c r="AM42" i="10"/>
  <c r="S42" i="10"/>
  <c r="T42" i="10"/>
  <c r="N42" i="10"/>
  <c r="O42" i="10"/>
  <c r="I42" i="10"/>
  <c r="J42" i="10"/>
  <c r="D42" i="10"/>
  <c r="E42" i="10"/>
  <c r="AK41" i="10"/>
  <c r="AM40" i="10"/>
  <c r="AN40" i="10"/>
  <c r="AP40" i="10"/>
  <c r="AK40" i="10"/>
  <c r="AK39" i="10"/>
  <c r="AK38" i="10"/>
  <c r="AK37" i="10"/>
  <c r="AK36" i="10"/>
  <c r="AK35" i="10"/>
  <c r="AK34" i="10"/>
  <c r="AK33" i="10"/>
  <c r="AK32" i="10"/>
  <c r="AK31" i="10"/>
  <c r="AK30" i="10"/>
  <c r="AK29" i="10"/>
  <c r="AK28" i="10"/>
  <c r="AK27" i="10"/>
  <c r="AK26" i="10"/>
  <c r="AK25" i="10"/>
  <c r="AK24" i="10"/>
  <c r="AK23" i="10"/>
  <c r="AK22" i="10"/>
  <c r="AK21" i="10"/>
  <c r="AK20" i="10"/>
  <c r="AK19" i="10"/>
  <c r="AK18" i="10"/>
  <c r="AK17" i="10"/>
  <c r="AK16" i="10"/>
  <c r="AK15" i="10"/>
  <c r="AK14" i="10"/>
  <c r="AK13" i="10"/>
  <c r="AK12" i="10"/>
  <c r="AK11" i="10"/>
  <c r="AK10" i="10"/>
  <c r="AK9" i="10"/>
  <c r="AK8" i="10"/>
  <c r="N45" i="8"/>
  <c r="I43" i="8"/>
  <c r="F43" i="8"/>
  <c r="C43" i="8"/>
  <c r="N42" i="8"/>
  <c r="N41" i="8"/>
  <c r="N40" i="8"/>
  <c r="N39" i="8"/>
  <c r="N38" i="8"/>
  <c r="N37" i="8"/>
  <c r="N36" i="8"/>
  <c r="N35" i="8"/>
  <c r="N34" i="8"/>
  <c r="N33" i="8"/>
  <c r="N32" i="8"/>
  <c r="N31" i="8"/>
  <c r="N30" i="8"/>
  <c r="N29" i="8"/>
  <c r="N28" i="8"/>
  <c r="N27" i="8"/>
  <c r="N26" i="8"/>
  <c r="N25" i="8"/>
  <c r="N24" i="8"/>
  <c r="N23" i="8"/>
  <c r="N22" i="8"/>
  <c r="N21" i="8"/>
  <c r="N20" i="8"/>
  <c r="N19" i="8"/>
  <c r="N18" i="8"/>
  <c r="N17" i="8"/>
  <c r="N16" i="8"/>
  <c r="N15" i="8"/>
  <c r="N14" i="8"/>
  <c r="N13" i="8"/>
  <c r="N12" i="8"/>
  <c r="N11" i="8"/>
  <c r="N10" i="8"/>
  <c r="N9" i="8"/>
  <c r="N8" i="8"/>
  <c r="N7" i="8"/>
  <c r="AA50" i="7"/>
  <c r="X50" i="7"/>
  <c r="W50" i="7"/>
  <c r="V50" i="7"/>
  <c r="AA49" i="7"/>
  <c r="X49" i="7"/>
  <c r="W49" i="7"/>
  <c r="V49" i="7"/>
  <c r="AA48" i="7"/>
  <c r="X48" i="7"/>
  <c r="W48" i="7"/>
  <c r="AA47" i="7"/>
  <c r="X47" i="7"/>
  <c r="W47" i="7"/>
  <c r="X46" i="7"/>
  <c r="Y45" i="7"/>
  <c r="X45" i="7"/>
  <c r="W45" i="7"/>
  <c r="V45" i="7"/>
  <c r="X44" i="7"/>
  <c r="X43" i="7"/>
  <c r="W41" i="7"/>
  <c r="V41" i="7"/>
  <c r="X40" i="7"/>
  <c r="W40" i="7"/>
  <c r="Y40" i="7"/>
  <c r="AA40" i="7"/>
  <c r="V40" i="7"/>
  <c r="W39" i="7"/>
  <c r="V39" i="7"/>
  <c r="W38" i="7"/>
  <c r="V38" i="7"/>
  <c r="W37" i="7"/>
  <c r="V37" i="7"/>
  <c r="W36" i="7"/>
  <c r="V36" i="7"/>
  <c r="W35" i="7"/>
  <c r="V35" i="7"/>
  <c r="W34" i="7"/>
  <c r="V34" i="7"/>
  <c r="W33" i="7"/>
  <c r="V33" i="7"/>
  <c r="W32" i="7"/>
  <c r="V32" i="7"/>
  <c r="W31" i="7"/>
  <c r="V31" i="7"/>
  <c r="W30" i="7"/>
  <c r="V30" i="7"/>
  <c r="W29" i="7"/>
  <c r="V29" i="7"/>
  <c r="W28" i="7"/>
  <c r="V28" i="7"/>
  <c r="W27" i="7"/>
  <c r="V27" i="7"/>
  <c r="W26" i="7"/>
  <c r="V26" i="7"/>
  <c r="W25" i="7"/>
  <c r="V25" i="7"/>
  <c r="W24" i="7"/>
  <c r="V24" i="7"/>
  <c r="W23" i="7"/>
  <c r="V23" i="7"/>
  <c r="W22" i="7"/>
  <c r="V22" i="7"/>
  <c r="W21" i="7"/>
  <c r="V21" i="7"/>
  <c r="W20" i="7"/>
  <c r="V20" i="7"/>
  <c r="W19" i="7"/>
  <c r="V19" i="7"/>
  <c r="W18" i="7"/>
  <c r="V18" i="7"/>
  <c r="W17" i="7"/>
  <c r="V17" i="7"/>
  <c r="W16" i="7"/>
  <c r="V16" i="7"/>
  <c r="W15" i="7"/>
  <c r="V15" i="7"/>
  <c r="W14" i="7"/>
  <c r="V14" i="7"/>
  <c r="W13" i="7"/>
  <c r="V13" i="7"/>
  <c r="W12" i="7"/>
  <c r="V12" i="7"/>
  <c r="W11" i="7"/>
  <c r="V11" i="7"/>
  <c r="W10" i="7"/>
  <c r="V10" i="7"/>
  <c r="W9" i="7"/>
  <c r="V9" i="7"/>
  <c r="W8" i="7"/>
  <c r="V8" i="7"/>
  <c r="W7" i="7"/>
  <c r="V7" i="7"/>
  <c r="W43" i="6"/>
  <c r="L2" i="5"/>
  <c r="I38" i="5"/>
  <c r="O38" i="5"/>
  <c r="W40" i="6"/>
  <c r="W39" i="6"/>
  <c r="W37" i="6"/>
  <c r="W35" i="6"/>
  <c r="W33" i="6"/>
  <c r="W31" i="6"/>
  <c r="W27" i="6"/>
  <c r="W25" i="6"/>
  <c r="W21" i="6"/>
  <c r="W19" i="6"/>
  <c r="W16" i="6"/>
  <c r="W15" i="6"/>
  <c r="W13" i="6"/>
  <c r="W11" i="6"/>
  <c r="W8" i="6"/>
  <c r="D43" i="6"/>
  <c r="W28" i="6"/>
  <c r="X41" i="6"/>
  <c r="Y45" i="6"/>
  <c r="AA50" i="6"/>
  <c r="X50" i="6"/>
  <c r="W50" i="6"/>
  <c r="V50" i="6"/>
  <c r="AA49" i="6"/>
  <c r="X49" i="6"/>
  <c r="W49" i="6"/>
  <c r="V49" i="6"/>
  <c r="AA48" i="6"/>
  <c r="X48" i="6"/>
  <c r="W48" i="6"/>
  <c r="V48" i="6"/>
  <c r="AA47" i="6"/>
  <c r="X47" i="6"/>
  <c r="W47" i="6"/>
  <c r="V47" i="6"/>
  <c r="X46" i="6"/>
  <c r="W46" i="6"/>
  <c r="V46" i="6"/>
  <c r="X45" i="6"/>
  <c r="W45" i="6"/>
  <c r="V45" i="6"/>
  <c r="X44" i="6"/>
  <c r="X43" i="6"/>
  <c r="S43" i="6"/>
  <c r="T43" i="6"/>
  <c r="R43" i="6"/>
  <c r="N43" i="6"/>
  <c r="O43" i="6"/>
  <c r="M43" i="6"/>
  <c r="I43" i="6"/>
  <c r="J43" i="6"/>
  <c r="H43" i="6"/>
  <c r="C43" i="6"/>
  <c r="W42" i="6"/>
  <c r="V42" i="6"/>
  <c r="W41" i="6"/>
  <c r="Y41" i="6"/>
  <c r="AA41" i="6"/>
  <c r="V41" i="6"/>
  <c r="V40" i="6"/>
  <c r="V39" i="6"/>
  <c r="W38" i="6"/>
  <c r="V38" i="6"/>
  <c r="V37" i="6"/>
  <c r="W36" i="6"/>
  <c r="V36" i="6"/>
  <c r="V35" i="6"/>
  <c r="W34" i="6"/>
  <c r="V34" i="6"/>
  <c r="V33" i="6"/>
  <c r="W32" i="6"/>
  <c r="V32" i="6"/>
  <c r="V31" i="6"/>
  <c r="W30" i="6"/>
  <c r="V30" i="6"/>
  <c r="W29" i="6"/>
  <c r="V29" i="6"/>
  <c r="V28" i="6"/>
  <c r="V27" i="6"/>
  <c r="W26" i="6"/>
  <c r="V26" i="6"/>
  <c r="V25" i="6"/>
  <c r="W24" i="6"/>
  <c r="V24" i="6"/>
  <c r="W23" i="6"/>
  <c r="V23" i="6"/>
  <c r="W22" i="6"/>
  <c r="V22" i="6"/>
  <c r="V21" i="6"/>
  <c r="W20" i="6"/>
  <c r="V20" i="6"/>
  <c r="V19" i="6"/>
  <c r="W18" i="6"/>
  <c r="V18" i="6"/>
  <c r="W17" i="6"/>
  <c r="V17" i="6"/>
  <c r="V16" i="6"/>
  <c r="V15" i="6"/>
  <c r="W14" i="6"/>
  <c r="V14" i="6"/>
  <c r="V13" i="6"/>
  <c r="W12" i="6"/>
  <c r="V12" i="6"/>
  <c r="V11" i="6"/>
  <c r="W10" i="6"/>
  <c r="V10" i="6"/>
  <c r="W9" i="6"/>
  <c r="V9" i="6"/>
  <c r="V8" i="6"/>
  <c r="V7" i="6"/>
  <c r="V38" i="5"/>
  <c r="U38" i="5"/>
  <c r="Q38" i="5"/>
  <c r="P38" i="5"/>
  <c r="R38" i="5"/>
  <c r="K38" i="5"/>
  <c r="J38" i="5"/>
  <c r="D38" i="5"/>
  <c r="C38" i="5"/>
  <c r="X37" i="5"/>
  <c r="R37" i="5"/>
  <c r="L37" i="5"/>
  <c r="F37" i="5"/>
  <c r="X36" i="5"/>
  <c r="R36" i="5"/>
  <c r="L36" i="5"/>
  <c r="F36" i="5"/>
  <c r="X35" i="5"/>
  <c r="R35" i="5"/>
  <c r="L35" i="5"/>
  <c r="F35" i="5"/>
  <c r="X34" i="5"/>
  <c r="R34" i="5"/>
  <c r="L34" i="5"/>
  <c r="F34" i="5"/>
  <c r="X33" i="5"/>
  <c r="R33" i="5"/>
  <c r="L33" i="5"/>
  <c r="F33" i="5"/>
  <c r="X32" i="5"/>
  <c r="R32" i="5"/>
  <c r="L32" i="5"/>
  <c r="F32" i="5"/>
  <c r="X31" i="5"/>
  <c r="R31" i="5"/>
  <c r="L31" i="5"/>
  <c r="F31" i="5"/>
  <c r="X30" i="5"/>
  <c r="R30" i="5"/>
  <c r="L30" i="5"/>
  <c r="F30" i="5"/>
  <c r="X29" i="5"/>
  <c r="R29" i="5"/>
  <c r="L29" i="5"/>
  <c r="F29" i="5"/>
  <c r="X28" i="5"/>
  <c r="R28" i="5"/>
  <c r="L28" i="5"/>
  <c r="F28" i="5"/>
  <c r="X27" i="5"/>
  <c r="R27" i="5"/>
  <c r="L27" i="5"/>
  <c r="F27" i="5"/>
  <c r="X26" i="5"/>
  <c r="R26" i="5"/>
  <c r="L26" i="5"/>
  <c r="F26" i="5"/>
  <c r="X25" i="5"/>
  <c r="R25" i="5"/>
  <c r="L25" i="5"/>
  <c r="F25" i="5"/>
  <c r="X24" i="5"/>
  <c r="R24" i="5"/>
  <c r="L24" i="5"/>
  <c r="F24" i="5"/>
  <c r="X23" i="5"/>
  <c r="R23" i="5"/>
  <c r="L23" i="5"/>
  <c r="F23" i="5"/>
  <c r="X22" i="5"/>
  <c r="R22" i="5"/>
  <c r="L22" i="5"/>
  <c r="F22" i="5"/>
  <c r="X21" i="5"/>
  <c r="R21" i="5"/>
  <c r="L21" i="5"/>
  <c r="F21" i="5"/>
  <c r="X20" i="5"/>
  <c r="R20" i="5"/>
  <c r="L20" i="5"/>
  <c r="F20" i="5"/>
  <c r="X19" i="5"/>
  <c r="R19" i="5"/>
  <c r="L19" i="5"/>
  <c r="F19" i="5"/>
  <c r="X18" i="5"/>
  <c r="R18" i="5"/>
  <c r="L18" i="5"/>
  <c r="F18" i="5"/>
  <c r="X17" i="5"/>
  <c r="R17" i="5"/>
  <c r="L17" i="5"/>
  <c r="F17" i="5"/>
  <c r="X16" i="5"/>
  <c r="R16" i="5"/>
  <c r="L16" i="5"/>
  <c r="F16" i="5"/>
  <c r="X15" i="5"/>
  <c r="R15" i="5"/>
  <c r="L15" i="5"/>
  <c r="F15" i="5"/>
  <c r="X14" i="5"/>
  <c r="R14" i="5"/>
  <c r="L14" i="5"/>
  <c r="F14" i="5"/>
  <c r="X13" i="5"/>
  <c r="R13" i="5"/>
  <c r="L13" i="5"/>
  <c r="F13" i="5"/>
  <c r="X12" i="5"/>
  <c r="R12" i="5"/>
  <c r="L12" i="5"/>
  <c r="F12" i="5"/>
  <c r="X11" i="5"/>
  <c r="R11" i="5"/>
  <c r="L11" i="5"/>
  <c r="F11" i="5"/>
  <c r="X10" i="5"/>
  <c r="R10" i="5"/>
  <c r="L10" i="5"/>
  <c r="F10" i="5"/>
  <c r="X9" i="5"/>
  <c r="R9" i="5"/>
  <c r="L9" i="5"/>
  <c r="F9" i="5"/>
  <c r="X8" i="5"/>
  <c r="R8" i="5"/>
  <c r="L8" i="5"/>
  <c r="F8" i="5"/>
  <c r="X7" i="5"/>
  <c r="R7" i="5"/>
  <c r="L7" i="5"/>
  <c r="F7" i="5"/>
  <c r="X6" i="5"/>
  <c r="R6" i="5"/>
  <c r="L6" i="5"/>
  <c r="F6" i="5"/>
  <c r="X5" i="5"/>
  <c r="R5" i="5"/>
  <c r="L5" i="5"/>
  <c r="F5" i="5"/>
  <c r="X4" i="5"/>
  <c r="R4" i="5"/>
  <c r="L4" i="5"/>
  <c r="F4" i="5"/>
  <c r="X3" i="5"/>
  <c r="R3" i="5"/>
  <c r="L3" i="5"/>
  <c r="F3" i="5"/>
  <c r="X2" i="5"/>
  <c r="R2" i="5"/>
  <c r="F2" i="5"/>
  <c r="E43" i="3"/>
  <c r="J43" i="3"/>
  <c r="Z28" i="4"/>
  <c r="Z16" i="4"/>
  <c r="X2" i="4"/>
  <c r="X3" i="4"/>
  <c r="X4" i="4"/>
  <c r="X5" i="4"/>
  <c r="X6" i="4"/>
  <c r="X7" i="4"/>
  <c r="X8" i="4"/>
  <c r="X9" i="4"/>
  <c r="X10" i="4"/>
  <c r="X11" i="4"/>
  <c r="X12" i="4"/>
  <c r="X13" i="4"/>
  <c r="X14" i="4"/>
  <c r="X15" i="4"/>
  <c r="X16" i="4"/>
  <c r="X17" i="4"/>
  <c r="X18" i="4"/>
  <c r="X19" i="4"/>
  <c r="X20" i="4"/>
  <c r="X21" i="4"/>
  <c r="X22" i="4"/>
  <c r="X23" i="4"/>
  <c r="X24" i="4"/>
  <c r="X25" i="4"/>
  <c r="X26" i="4"/>
  <c r="X27" i="4"/>
  <c r="X28" i="4"/>
  <c r="X29" i="4"/>
  <c r="X30" i="4"/>
  <c r="X31" i="4"/>
  <c r="X32" i="4"/>
  <c r="X33" i="4"/>
  <c r="X34" i="4"/>
  <c r="X35" i="4"/>
  <c r="X36" i="4"/>
  <c r="X37" i="4"/>
  <c r="R2" i="4"/>
  <c r="R3" i="4"/>
  <c r="R4" i="4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37" i="4"/>
  <c r="L2" i="4"/>
  <c r="Z2" i="4"/>
  <c r="L3" i="4"/>
  <c r="Z3" i="4"/>
  <c r="L4" i="4"/>
  <c r="L5" i="4"/>
  <c r="Z5" i="4"/>
  <c r="L6" i="4"/>
  <c r="Z6" i="4"/>
  <c r="L7" i="4"/>
  <c r="Z7" i="4"/>
  <c r="L8" i="4"/>
  <c r="Z8" i="4"/>
  <c r="L9" i="4"/>
  <c r="Z9" i="4"/>
  <c r="L10" i="4"/>
  <c r="Z10" i="4"/>
  <c r="L11" i="4"/>
  <c r="Z11" i="4"/>
  <c r="L12" i="4"/>
  <c r="Z12" i="4"/>
  <c r="L13" i="4"/>
  <c r="Z13" i="4"/>
  <c r="L14" i="4"/>
  <c r="Z14" i="4"/>
  <c r="L15" i="4"/>
  <c r="Z15" i="4"/>
  <c r="L16" i="4"/>
  <c r="L17" i="4"/>
  <c r="Z17" i="4"/>
  <c r="L18" i="4"/>
  <c r="Z18" i="4"/>
  <c r="L19" i="4"/>
  <c r="Z19" i="4"/>
  <c r="L20" i="4"/>
  <c r="Z20" i="4"/>
  <c r="L21" i="4"/>
  <c r="Z21" i="4"/>
  <c r="L22" i="4"/>
  <c r="Z22" i="4"/>
  <c r="L23" i="4"/>
  <c r="Z23" i="4"/>
  <c r="L24" i="4"/>
  <c r="Z24" i="4"/>
  <c r="L25" i="4"/>
  <c r="Z25" i="4"/>
  <c r="L26" i="4"/>
  <c r="Z26" i="4"/>
  <c r="L27" i="4"/>
  <c r="Z27" i="4"/>
  <c r="L28" i="4"/>
  <c r="L29" i="4"/>
  <c r="Z29" i="4"/>
  <c r="L30" i="4"/>
  <c r="Z30" i="4"/>
  <c r="L31" i="4"/>
  <c r="Z31" i="4"/>
  <c r="L32" i="4"/>
  <c r="Z32" i="4"/>
  <c r="L33" i="4"/>
  <c r="Z33" i="4"/>
  <c r="L34" i="4"/>
  <c r="Z34" i="4"/>
  <c r="L35" i="4"/>
  <c r="Z35" i="4"/>
  <c r="L36" i="4"/>
  <c r="Z36" i="4"/>
  <c r="L37" i="4"/>
  <c r="Z37" i="4"/>
  <c r="L38" i="4"/>
  <c r="F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K38" i="4"/>
  <c r="Q38" i="4"/>
  <c r="U38" i="4"/>
  <c r="X38" i="4"/>
  <c r="C38" i="4"/>
  <c r="V38" i="4"/>
  <c r="P38" i="4"/>
  <c r="R38" i="4"/>
  <c r="J38" i="4"/>
  <c r="D38" i="4"/>
  <c r="D43" i="3"/>
  <c r="I43" i="3"/>
  <c r="Z45" i="2"/>
  <c r="AB45" i="2"/>
  <c r="AB50" i="3"/>
  <c r="Y50" i="3"/>
  <c r="X50" i="3"/>
  <c r="W50" i="3"/>
  <c r="AB49" i="3"/>
  <c r="Y49" i="3"/>
  <c r="X49" i="3"/>
  <c r="W49" i="3"/>
  <c r="AB48" i="3"/>
  <c r="Y48" i="3"/>
  <c r="X48" i="3"/>
  <c r="W48" i="3"/>
  <c r="AB47" i="3"/>
  <c r="Y47" i="3"/>
  <c r="X47" i="3"/>
  <c r="W47" i="3"/>
  <c r="Y46" i="3"/>
  <c r="X46" i="3"/>
  <c r="W46" i="3"/>
  <c r="Z45" i="3"/>
  <c r="Y45" i="3"/>
  <c r="X45" i="3"/>
  <c r="W45" i="3"/>
  <c r="Y44" i="3"/>
  <c r="Y43" i="3"/>
  <c r="T43" i="3"/>
  <c r="S43" i="3"/>
  <c r="O43" i="3"/>
  <c r="N43" i="3"/>
  <c r="X42" i="3"/>
  <c r="W42" i="3"/>
  <c r="Y41" i="3"/>
  <c r="X41" i="3"/>
  <c r="Z41" i="3"/>
  <c r="AB41" i="3"/>
  <c r="W41" i="3"/>
  <c r="X40" i="3"/>
  <c r="W40" i="3"/>
  <c r="X39" i="3"/>
  <c r="W39" i="3"/>
  <c r="X38" i="3"/>
  <c r="W38" i="3"/>
  <c r="X37" i="3"/>
  <c r="W37" i="3"/>
  <c r="X36" i="3"/>
  <c r="W36" i="3"/>
  <c r="X35" i="3"/>
  <c r="W35" i="3"/>
  <c r="X34" i="3"/>
  <c r="W34" i="3"/>
  <c r="X33" i="3"/>
  <c r="W33" i="3"/>
  <c r="X32" i="3"/>
  <c r="W32" i="3"/>
  <c r="X31" i="3"/>
  <c r="W31" i="3"/>
  <c r="X30" i="3"/>
  <c r="W30" i="3"/>
  <c r="X29" i="3"/>
  <c r="W29" i="3"/>
  <c r="X28" i="3"/>
  <c r="W28" i="3"/>
  <c r="X27" i="3"/>
  <c r="W27" i="3"/>
  <c r="X26" i="3"/>
  <c r="W26" i="3"/>
  <c r="X25" i="3"/>
  <c r="W25" i="3"/>
  <c r="X24" i="3"/>
  <c r="W24" i="3"/>
  <c r="X23" i="3"/>
  <c r="W23" i="3"/>
  <c r="X22" i="3"/>
  <c r="W22" i="3"/>
  <c r="X21" i="3"/>
  <c r="W21" i="3"/>
  <c r="X20" i="3"/>
  <c r="W20" i="3"/>
  <c r="X19" i="3"/>
  <c r="W19" i="3"/>
  <c r="X18" i="3"/>
  <c r="W18" i="3"/>
  <c r="X17" i="3"/>
  <c r="W17" i="3"/>
  <c r="X16" i="3"/>
  <c r="W16" i="3"/>
  <c r="X15" i="3"/>
  <c r="W15" i="3"/>
  <c r="X14" i="3"/>
  <c r="W14" i="3"/>
  <c r="X13" i="3"/>
  <c r="W13" i="3"/>
  <c r="X12" i="3"/>
  <c r="W12" i="3"/>
  <c r="X11" i="3"/>
  <c r="W11" i="3"/>
  <c r="X10" i="3"/>
  <c r="W10" i="3"/>
  <c r="X9" i="3"/>
  <c r="W9" i="3"/>
  <c r="X8" i="3"/>
  <c r="W8" i="3"/>
  <c r="X7" i="3"/>
  <c r="W7" i="3"/>
  <c r="W50" i="2"/>
  <c r="X50" i="2"/>
  <c r="Y50" i="2"/>
  <c r="AB50" i="2"/>
  <c r="W49" i="2"/>
  <c r="X49" i="2"/>
  <c r="Y49" i="2"/>
  <c r="AB49" i="2"/>
  <c r="W48" i="2"/>
  <c r="X48" i="2"/>
  <c r="Y48" i="2"/>
  <c r="AB48" i="2"/>
  <c r="W47" i="2"/>
  <c r="X47" i="2"/>
  <c r="Y47" i="2"/>
  <c r="AB47" i="2"/>
  <c r="J43" i="2"/>
  <c r="X43" i="2"/>
  <c r="Z43" i="2"/>
  <c r="Y7" i="2"/>
  <c r="X7" i="2"/>
  <c r="Z7" i="2"/>
  <c r="AB7" i="2"/>
  <c r="Y8" i="2"/>
  <c r="Z8" i="2"/>
  <c r="AB8" i="2"/>
  <c r="Y9" i="2"/>
  <c r="Z9" i="2"/>
  <c r="AB9" i="2"/>
  <c r="Y10" i="2"/>
  <c r="Z10" i="2"/>
  <c r="AB10" i="2"/>
  <c r="Y11" i="2"/>
  <c r="Z11" i="2"/>
  <c r="AB11" i="2"/>
  <c r="Y12" i="2"/>
  <c r="Z12" i="2"/>
  <c r="AB12" i="2"/>
  <c r="Y13" i="2"/>
  <c r="Z13" i="2"/>
  <c r="AB13" i="2"/>
  <c r="Y14" i="2"/>
  <c r="Z14" i="2"/>
  <c r="AB14" i="2"/>
  <c r="Y15" i="2"/>
  <c r="Z15" i="2"/>
  <c r="AB15" i="2"/>
  <c r="Y16" i="2"/>
  <c r="Z16" i="2"/>
  <c r="AB16" i="2"/>
  <c r="Y17" i="2"/>
  <c r="Z17" i="2"/>
  <c r="AB17" i="2"/>
  <c r="Y18" i="2"/>
  <c r="Z18" i="2"/>
  <c r="AB18" i="2"/>
  <c r="Y19" i="2"/>
  <c r="Z19" i="2"/>
  <c r="AB19" i="2"/>
  <c r="Y20" i="2"/>
  <c r="Z20" i="2"/>
  <c r="AB20" i="2"/>
  <c r="Y21" i="2"/>
  <c r="Z21" i="2"/>
  <c r="AB21" i="2"/>
  <c r="Y22" i="2"/>
  <c r="Z22" i="2"/>
  <c r="AB22" i="2"/>
  <c r="Y23" i="2"/>
  <c r="Z23" i="2"/>
  <c r="AB23" i="2"/>
  <c r="Y24" i="2"/>
  <c r="Z24" i="2"/>
  <c r="AB24" i="2"/>
  <c r="Y25" i="2"/>
  <c r="Z25" i="2"/>
  <c r="AB25" i="2"/>
  <c r="Y26" i="2"/>
  <c r="Z26" i="2"/>
  <c r="AB26" i="2"/>
  <c r="Y27" i="2"/>
  <c r="Z27" i="2"/>
  <c r="AB27" i="2"/>
  <c r="Y28" i="2"/>
  <c r="Z28" i="2"/>
  <c r="AB28" i="2"/>
  <c r="Y29" i="2"/>
  <c r="Z29" i="2"/>
  <c r="AB29" i="2"/>
  <c r="Y30" i="2"/>
  <c r="Z30" i="2"/>
  <c r="AB30" i="2"/>
  <c r="Y31" i="2"/>
  <c r="Z31" i="2"/>
  <c r="AB31" i="2"/>
  <c r="Y32" i="2"/>
  <c r="Z32" i="2"/>
  <c r="AB32" i="2"/>
  <c r="Y33" i="2"/>
  <c r="Z33" i="2"/>
  <c r="AB33" i="2"/>
  <c r="Y34" i="2"/>
  <c r="Z34" i="2"/>
  <c r="AB34" i="2"/>
  <c r="Y35" i="2"/>
  <c r="Z35" i="2"/>
  <c r="AB35" i="2"/>
  <c r="Y36" i="2"/>
  <c r="Z36" i="2"/>
  <c r="AB36" i="2"/>
  <c r="Y37" i="2"/>
  <c r="Z37" i="2"/>
  <c r="AB37" i="2"/>
  <c r="Y38" i="2"/>
  <c r="Z38" i="2"/>
  <c r="AB38" i="2"/>
  <c r="Y39" i="2"/>
  <c r="Z39" i="2"/>
  <c r="AB39" i="2"/>
  <c r="Y40" i="2"/>
  <c r="Z40" i="2"/>
  <c r="AB40" i="2"/>
  <c r="Y41" i="2"/>
  <c r="Z41" i="2"/>
  <c r="AB41" i="2"/>
  <c r="Y42" i="2"/>
  <c r="Z42" i="2"/>
  <c r="AB42" i="2"/>
  <c r="D43" i="2"/>
  <c r="I43" i="2"/>
  <c r="N43" i="2"/>
  <c r="S43" i="2"/>
  <c r="W43" i="2"/>
  <c r="E43" i="2"/>
  <c r="O43" i="2"/>
  <c r="T43" i="2"/>
  <c r="W7" i="2"/>
  <c r="W8" i="2"/>
  <c r="X8" i="2"/>
  <c r="W9" i="2"/>
  <c r="X9" i="2"/>
  <c r="W10" i="2"/>
  <c r="X10" i="2"/>
  <c r="W11" i="2"/>
  <c r="X11" i="2"/>
  <c r="W12" i="2"/>
  <c r="X12" i="2"/>
  <c r="W13" i="2"/>
  <c r="X13" i="2"/>
  <c r="W14" i="2"/>
  <c r="X14" i="2"/>
  <c r="W15" i="2"/>
  <c r="X15" i="2"/>
  <c r="W16" i="2"/>
  <c r="X16" i="2"/>
  <c r="W17" i="2"/>
  <c r="X17" i="2"/>
  <c r="W18" i="2"/>
  <c r="X18" i="2"/>
  <c r="W19" i="2"/>
  <c r="X19" i="2"/>
  <c r="W20" i="2"/>
  <c r="X20" i="2"/>
  <c r="W21" i="2"/>
  <c r="X21" i="2"/>
  <c r="W22" i="2"/>
  <c r="X22" i="2"/>
  <c r="W23" i="2"/>
  <c r="X23" i="2"/>
  <c r="W24" i="2"/>
  <c r="X24" i="2"/>
  <c r="W25" i="2"/>
  <c r="X25" i="2"/>
  <c r="W26" i="2"/>
  <c r="X26" i="2"/>
  <c r="W27" i="2"/>
  <c r="X27" i="2"/>
  <c r="W28" i="2"/>
  <c r="X28" i="2"/>
  <c r="W29" i="2"/>
  <c r="X29" i="2"/>
  <c r="W30" i="2"/>
  <c r="X30" i="2"/>
  <c r="W31" i="2"/>
  <c r="X31" i="2"/>
  <c r="W32" i="2"/>
  <c r="X32" i="2"/>
  <c r="W33" i="2"/>
  <c r="X33" i="2"/>
  <c r="W34" i="2"/>
  <c r="X34" i="2"/>
  <c r="W35" i="2"/>
  <c r="X35" i="2"/>
  <c r="W36" i="2"/>
  <c r="X36" i="2"/>
  <c r="W37" i="2"/>
  <c r="X37" i="2"/>
  <c r="W38" i="2"/>
  <c r="X38" i="2"/>
  <c r="W39" i="2"/>
  <c r="X39" i="2"/>
  <c r="W40" i="2"/>
  <c r="X40" i="2"/>
  <c r="X41" i="2"/>
  <c r="W42" i="2"/>
  <c r="X42" i="2"/>
  <c r="AB43" i="2"/>
  <c r="Y43" i="2"/>
  <c r="Y44" i="2"/>
  <c r="Y45" i="2"/>
  <c r="Y46" i="2"/>
  <c r="W45" i="2"/>
  <c r="W46" i="2"/>
  <c r="X46" i="2"/>
  <c r="X45" i="2"/>
  <c r="W41" i="2"/>
  <c r="U43" i="2"/>
  <c r="P43" i="2"/>
  <c r="K43" i="2"/>
  <c r="F43" i="2"/>
  <c r="V43" i="6"/>
  <c r="Z4" i="4"/>
  <c r="F38" i="4"/>
  <c r="Z38" i="4"/>
  <c r="F43" i="3"/>
  <c r="K43" i="3"/>
  <c r="X43" i="3"/>
  <c r="U43" i="3"/>
  <c r="P43" i="3"/>
  <c r="W43" i="3"/>
  <c r="Z43" i="3"/>
  <c r="Y10" i="3"/>
  <c r="Z10" i="3"/>
  <c r="AB10" i="3"/>
  <c r="Y34" i="3"/>
  <c r="Z34" i="3"/>
  <c r="AB34" i="3"/>
  <c r="Y39" i="3"/>
  <c r="Z39" i="3"/>
  <c r="AB39" i="3"/>
  <c r="Y8" i="3"/>
  <c r="Z8" i="3"/>
  <c r="AB8" i="3"/>
  <c r="Y20" i="3"/>
  <c r="Z20" i="3"/>
  <c r="AB20" i="3"/>
  <c r="Y32" i="3"/>
  <c r="Z32" i="3"/>
  <c r="AB32" i="3"/>
  <c r="Y30" i="3"/>
  <c r="Z30" i="3"/>
  <c r="AB30" i="3"/>
  <c r="Y14" i="3"/>
  <c r="Z14" i="3"/>
  <c r="AB14" i="3"/>
  <c r="Y29" i="3"/>
  <c r="Z29" i="3"/>
  <c r="AB29" i="3"/>
  <c r="Y26" i="3"/>
  <c r="Z26" i="3"/>
  <c r="AB26" i="3"/>
  <c r="Y11" i="3"/>
  <c r="Z11" i="3"/>
  <c r="AB11" i="3"/>
  <c r="Y31" i="3"/>
  <c r="Z31" i="3"/>
  <c r="AB31" i="3"/>
  <c r="Y23" i="3"/>
  <c r="Z23" i="3"/>
  <c r="AB23" i="3"/>
  <c r="Y13" i="3"/>
  <c r="Z13" i="3"/>
  <c r="AB13" i="3"/>
  <c r="Y35" i="3"/>
  <c r="Z35" i="3"/>
  <c r="AB35" i="3"/>
  <c r="Y42" i="3"/>
  <c r="Z42" i="3"/>
  <c r="AB42" i="3"/>
  <c r="Y28" i="3"/>
  <c r="Z28" i="3"/>
  <c r="AB28" i="3"/>
  <c r="Y12" i="3"/>
  <c r="Z12" i="3"/>
  <c r="AB12" i="3"/>
  <c r="Y24" i="3"/>
  <c r="Z24" i="3"/>
  <c r="AB24" i="3"/>
  <c r="Y9" i="3"/>
  <c r="Z9" i="3"/>
  <c r="AB9" i="3"/>
  <c r="AB43" i="3"/>
  <c r="Y40" i="3"/>
  <c r="Z40" i="3"/>
  <c r="AB40" i="3"/>
  <c r="Y18" i="3"/>
  <c r="Z18" i="3"/>
  <c r="AB18" i="3"/>
  <c r="Y27" i="3"/>
  <c r="Z27" i="3"/>
  <c r="AB27" i="3"/>
  <c r="Y21" i="3"/>
  <c r="Z21" i="3"/>
  <c r="AB21" i="3"/>
  <c r="Y15" i="3"/>
  <c r="Z15" i="3"/>
  <c r="AB15" i="3"/>
  <c r="Y33" i="3"/>
  <c r="Z33" i="3"/>
  <c r="AB33" i="3"/>
  <c r="Y22" i="3"/>
  <c r="Z22" i="3"/>
  <c r="AB22" i="3"/>
  <c r="Y36" i="3"/>
  <c r="Z36" i="3"/>
  <c r="AB36" i="3"/>
  <c r="Y17" i="3"/>
  <c r="Z17" i="3"/>
  <c r="AB17" i="3"/>
  <c r="Y38" i="3"/>
  <c r="Z38" i="3"/>
  <c r="AB38" i="3"/>
  <c r="Y7" i="3"/>
  <c r="Z7" i="3"/>
  <c r="AB7" i="3"/>
  <c r="Y25" i="3"/>
  <c r="Z25" i="3"/>
  <c r="AB25" i="3"/>
  <c r="Y37" i="3"/>
  <c r="Z37" i="3"/>
  <c r="AB37" i="3"/>
  <c r="Y16" i="3"/>
  <c r="Z16" i="3"/>
  <c r="AB16" i="3"/>
  <c r="Y19" i="3"/>
  <c r="Z19" i="3"/>
  <c r="AB19" i="3"/>
  <c r="AB45" i="3"/>
  <c r="T43" i="7"/>
  <c r="O43" i="7"/>
  <c r="E43" i="7"/>
  <c r="N43" i="8"/>
  <c r="V43" i="7"/>
  <c r="W43" i="7"/>
  <c r="F38" i="5"/>
  <c r="L38" i="5"/>
  <c r="Z27" i="5"/>
  <c r="Z30" i="5"/>
  <c r="Z33" i="5"/>
  <c r="Z3" i="5"/>
  <c r="Z24" i="5"/>
  <c r="Z8" i="5"/>
  <c r="Z11" i="5"/>
  <c r="Z14" i="5"/>
  <c r="Z17" i="5"/>
  <c r="Z23" i="5"/>
  <c r="E43" i="6"/>
  <c r="Y43" i="6"/>
  <c r="W7" i="6"/>
  <c r="Z21" i="5"/>
  <c r="Z18" i="5"/>
  <c r="Z15" i="5"/>
  <c r="Z12" i="5"/>
  <c r="Z9" i="5"/>
  <c r="X38" i="5"/>
  <c r="Z6" i="5"/>
  <c r="Z4" i="5"/>
  <c r="Z7" i="5"/>
  <c r="Z10" i="5"/>
  <c r="Z13" i="5"/>
  <c r="Z16" i="5"/>
  <c r="Z19" i="5"/>
  <c r="Z22" i="5"/>
  <c r="Z25" i="5"/>
  <c r="Z28" i="5"/>
  <c r="Z31" i="5"/>
  <c r="Z34" i="5"/>
  <c r="Z37" i="5"/>
  <c r="Z2" i="5"/>
  <c r="Z5" i="5"/>
  <c r="Z20" i="5"/>
  <c r="Z26" i="5"/>
  <c r="Z29" i="5"/>
  <c r="Z32" i="5"/>
  <c r="Z36" i="5"/>
  <c r="Z35" i="5"/>
  <c r="AP42" i="10"/>
  <c r="AM28" i="10"/>
  <c r="AN28" i="10"/>
  <c r="AP28" i="10"/>
  <c r="AM17" i="10"/>
  <c r="AN17" i="10"/>
  <c r="AP17" i="10"/>
  <c r="AM38" i="10"/>
  <c r="AN38" i="10"/>
  <c r="AP38" i="10"/>
  <c r="AM35" i="10"/>
  <c r="AN35" i="10"/>
  <c r="AP35" i="10"/>
  <c r="AM24" i="10"/>
  <c r="AN24" i="10"/>
  <c r="AP24" i="10"/>
  <c r="AM12" i="10"/>
  <c r="AN12" i="10"/>
  <c r="AP12" i="10"/>
  <c r="AM30" i="10"/>
  <c r="AN30" i="10"/>
  <c r="AP30" i="10"/>
  <c r="AM19" i="10"/>
  <c r="AN19" i="10"/>
  <c r="AP19" i="10"/>
  <c r="AN7" i="10"/>
  <c r="AP7" i="10"/>
  <c r="AM41" i="10"/>
  <c r="AN41" i="10"/>
  <c r="AP41" i="10"/>
  <c r="AM29" i="10"/>
  <c r="AN29" i="10"/>
  <c r="AP29" i="10"/>
  <c r="AM15" i="10"/>
  <c r="AN15" i="10"/>
  <c r="AP15" i="10"/>
  <c r="AM37" i="10"/>
  <c r="AN37" i="10"/>
  <c r="AP37" i="10"/>
  <c r="AM25" i="10"/>
  <c r="AN25" i="10"/>
  <c r="AP25" i="10"/>
  <c r="AM14" i="10"/>
  <c r="AN14" i="10"/>
  <c r="AP14" i="10"/>
  <c r="AM18" i="10"/>
  <c r="AN18" i="10"/>
  <c r="AP18" i="10"/>
  <c r="AM32" i="10"/>
  <c r="AN32" i="10"/>
  <c r="AP32" i="10"/>
  <c r="AM21" i="10"/>
  <c r="AN21" i="10"/>
  <c r="AP21" i="10"/>
  <c r="AM9" i="10"/>
  <c r="AN9" i="10"/>
  <c r="AP9" i="10"/>
  <c r="AM39" i="10"/>
  <c r="AN39" i="10"/>
  <c r="AP39" i="10"/>
  <c r="AM27" i="10"/>
  <c r="AN27" i="10"/>
  <c r="AP27" i="10"/>
  <c r="AM16" i="10"/>
  <c r="AN16" i="10"/>
  <c r="AP16" i="10"/>
  <c r="AM26" i="10"/>
  <c r="AN26" i="10"/>
  <c r="AP26" i="10"/>
  <c r="AM34" i="10"/>
  <c r="AN34" i="10"/>
  <c r="AP34" i="10"/>
  <c r="AM23" i="10"/>
  <c r="AN23" i="10"/>
  <c r="AP23" i="10"/>
  <c r="AM11" i="10"/>
  <c r="AN11" i="10"/>
  <c r="AP11" i="10"/>
  <c r="AM8" i="10"/>
  <c r="AN8" i="10"/>
  <c r="AP8" i="10"/>
  <c r="AM36" i="10"/>
  <c r="AN36" i="10"/>
  <c r="AP36" i="10"/>
  <c r="AM13" i="10"/>
  <c r="AN13" i="10"/>
  <c r="AP13" i="10"/>
  <c r="AM31" i="10"/>
  <c r="AN31" i="10"/>
  <c r="AP31" i="10"/>
  <c r="AM20" i="10"/>
  <c r="AN20" i="10"/>
  <c r="AP20" i="10"/>
  <c r="AM33" i="10"/>
  <c r="AN33" i="10"/>
  <c r="AP33" i="10"/>
  <c r="AM22" i="10"/>
  <c r="AN22" i="10"/>
  <c r="AP22" i="10"/>
  <c r="AM10" i="10"/>
  <c r="AN10" i="10"/>
  <c r="AP10" i="10"/>
  <c r="Y43" i="7"/>
  <c r="AA43" i="7"/>
  <c r="Z38" i="5"/>
  <c r="X7" i="6"/>
  <c r="Y7" i="6"/>
  <c r="AA7" i="6"/>
  <c r="X11" i="6"/>
  <c r="Y11" i="6"/>
  <c r="AA11" i="6"/>
  <c r="X15" i="6"/>
  <c r="Y15" i="6"/>
  <c r="AA15" i="6"/>
  <c r="X19" i="6"/>
  <c r="Y19" i="6"/>
  <c r="AA19" i="6"/>
  <c r="X23" i="6"/>
  <c r="Y23" i="6"/>
  <c r="AA23" i="6"/>
  <c r="X27" i="6"/>
  <c r="Y27" i="6"/>
  <c r="AA27" i="6"/>
  <c r="X31" i="6"/>
  <c r="Y31" i="6"/>
  <c r="AA31" i="6"/>
  <c r="X35" i="6"/>
  <c r="Y35" i="6"/>
  <c r="AA35" i="6"/>
  <c r="X39" i="6"/>
  <c r="Y39" i="6"/>
  <c r="AA39" i="6"/>
  <c r="X8" i="6"/>
  <c r="Y8" i="6"/>
  <c r="AA8" i="6"/>
  <c r="X12" i="6"/>
  <c r="Y12" i="6"/>
  <c r="AA12" i="6"/>
  <c r="X16" i="6"/>
  <c r="Y16" i="6"/>
  <c r="AA16" i="6"/>
  <c r="X20" i="6"/>
  <c r="Y20" i="6"/>
  <c r="AA20" i="6"/>
  <c r="X24" i="6"/>
  <c r="Y24" i="6"/>
  <c r="AA24" i="6"/>
  <c r="X28" i="6"/>
  <c r="Y28" i="6"/>
  <c r="AA28" i="6"/>
  <c r="X32" i="6"/>
  <c r="Y32" i="6"/>
  <c r="AA32" i="6"/>
  <c r="X36" i="6"/>
  <c r="Y36" i="6"/>
  <c r="AA36" i="6"/>
  <c r="X40" i="6"/>
  <c r="Y40" i="6"/>
  <c r="AA40" i="6"/>
  <c r="X9" i="6"/>
  <c r="Y9" i="6"/>
  <c r="AA9" i="6"/>
  <c r="X13" i="6"/>
  <c r="Y13" i="6"/>
  <c r="AA13" i="6"/>
  <c r="X17" i="6"/>
  <c r="Y17" i="6"/>
  <c r="AA17" i="6"/>
  <c r="X21" i="6"/>
  <c r="Y21" i="6"/>
  <c r="AA21" i="6"/>
  <c r="X25" i="6"/>
  <c r="Y25" i="6"/>
  <c r="AA25" i="6"/>
  <c r="X29" i="6"/>
  <c r="Y29" i="6"/>
  <c r="AA29" i="6"/>
  <c r="X33" i="6"/>
  <c r="Y33" i="6"/>
  <c r="AA33" i="6"/>
  <c r="X37" i="6"/>
  <c r="Y37" i="6"/>
  <c r="AA37" i="6"/>
  <c r="AA43" i="6"/>
  <c r="X10" i="6"/>
  <c r="Y10" i="6"/>
  <c r="AA10" i="6"/>
  <c r="X14" i="6"/>
  <c r="Y14" i="6"/>
  <c r="AA14" i="6"/>
  <c r="X18" i="6"/>
  <c r="Y18" i="6"/>
  <c r="AA18" i="6"/>
  <c r="X22" i="6"/>
  <c r="Y22" i="6"/>
  <c r="AA22" i="6"/>
  <c r="X26" i="6"/>
  <c r="Y26" i="6"/>
  <c r="AA26" i="6"/>
  <c r="X30" i="6"/>
  <c r="Y30" i="6"/>
  <c r="AA30" i="6"/>
  <c r="X34" i="6"/>
  <c r="Y34" i="6"/>
  <c r="AA34" i="6"/>
  <c r="X38" i="6"/>
  <c r="Y38" i="6"/>
  <c r="AA38" i="6"/>
  <c r="X42" i="6"/>
  <c r="Y42" i="6"/>
  <c r="AA42" i="6"/>
  <c r="X28" i="7"/>
  <c r="Y28" i="7"/>
  <c r="AA28" i="7"/>
  <c r="X17" i="7"/>
  <c r="Y17" i="7"/>
  <c r="AA17" i="7"/>
  <c r="X35" i="7"/>
  <c r="Y35" i="7"/>
  <c r="AA35" i="7"/>
  <c r="X24" i="7"/>
  <c r="Y24" i="7"/>
  <c r="AA24" i="7"/>
  <c r="X12" i="7"/>
  <c r="Y12" i="7"/>
  <c r="AA12" i="7"/>
  <c r="X36" i="7"/>
  <c r="Y36" i="7"/>
  <c r="AA36" i="7"/>
  <c r="X30" i="7"/>
  <c r="Y30" i="7"/>
  <c r="AA30" i="7"/>
  <c r="X19" i="7"/>
  <c r="Y19" i="7"/>
  <c r="AA19" i="7"/>
  <c r="X7" i="7"/>
  <c r="Y7" i="7"/>
  <c r="AA7" i="7"/>
  <c r="X13" i="7"/>
  <c r="Y13" i="7"/>
  <c r="AA13" i="7"/>
  <c r="X37" i="7"/>
  <c r="Y37" i="7"/>
  <c r="AA37" i="7"/>
  <c r="X25" i="7"/>
  <c r="Y25" i="7"/>
  <c r="AA25" i="7"/>
  <c r="X14" i="7"/>
  <c r="Y14" i="7"/>
  <c r="AA14" i="7"/>
  <c r="X32" i="7"/>
  <c r="Y32" i="7"/>
  <c r="AA32" i="7"/>
  <c r="X21" i="7"/>
  <c r="Y21" i="7"/>
  <c r="AA21" i="7"/>
  <c r="X9" i="7"/>
  <c r="Y9" i="7"/>
  <c r="AA9" i="7"/>
  <c r="X39" i="7"/>
  <c r="Y39" i="7"/>
  <c r="AA39" i="7"/>
  <c r="X27" i="7"/>
  <c r="Y27" i="7"/>
  <c r="AA27" i="7"/>
  <c r="X16" i="7"/>
  <c r="Y16" i="7"/>
  <c r="AA16" i="7"/>
  <c r="X41" i="7"/>
  <c r="Y41" i="7"/>
  <c r="AA41" i="7"/>
  <c r="X34" i="7"/>
  <c r="Y34" i="7"/>
  <c r="AA34" i="7"/>
  <c r="X23" i="7"/>
  <c r="Y23" i="7"/>
  <c r="AA23" i="7"/>
  <c r="X11" i="7"/>
  <c r="Y11" i="7"/>
  <c r="AA11" i="7"/>
  <c r="X31" i="7"/>
  <c r="Y31" i="7"/>
  <c r="AA31" i="7"/>
  <c r="X20" i="7"/>
  <c r="Y20" i="7"/>
  <c r="AA20" i="7"/>
  <c r="X8" i="7"/>
  <c r="Y8" i="7"/>
  <c r="AA8" i="7"/>
  <c r="X18" i="7"/>
  <c r="Y18" i="7"/>
  <c r="AA18" i="7"/>
  <c r="X38" i="7"/>
  <c r="Y38" i="7"/>
  <c r="AA38" i="7"/>
  <c r="X26" i="7"/>
  <c r="Y26" i="7"/>
  <c r="AA26" i="7"/>
  <c r="X15" i="7"/>
  <c r="Y15" i="7"/>
  <c r="AA15" i="7"/>
  <c r="X33" i="7"/>
  <c r="Y33" i="7"/>
  <c r="AA33" i="7"/>
  <c r="X22" i="7"/>
  <c r="Y22" i="7"/>
  <c r="AA22" i="7"/>
  <c r="X10" i="7"/>
  <c r="Y10" i="7"/>
  <c r="AA10" i="7"/>
  <c r="X29" i="7"/>
  <c r="Y29" i="7"/>
  <c r="AA29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tc={78BB3204-F544-4A00-BCA3-14B7D42E7358}</author>
    <author>tc={ED8CF464-1EED-4656-9719-1C1D2D6DE803}</author>
    <author>tc={08FC768E-50AA-48C1-ADA2-7273C8B4DBA8}</author>
    <author>tc={89E821C3-452C-4AFA-A209-C2D5C953DB23}</author>
    <author>tc={1B3778F0-3A20-4506-8C18-AD31989CBA47}</author>
    <author>tc={01365EB0-0D28-4632-83E6-7A67324A1B74}</author>
    <author>tc={09BEE8E1-49CF-4F76-89A1-CFC9F9001CE2}</author>
    <author>tc={B1CB1F2D-99E9-41AD-8C2F-542D8F215D06}</author>
    <author>tc={FD137755-5F0D-46EC-B87E-8316BA588ADC}</author>
  </authors>
  <commentList>
    <comment ref="O8" authorId="0" shapeId="0" xr:uid="{78BB3204-F544-4A00-BCA3-14B7D42E735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Yarki fuel card 138
</t>
      </text>
    </comment>
    <comment ref="O9" authorId="1" shapeId="0" xr:uid="{ED8CF464-1EED-4656-9719-1C1D2D6DE80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Yarik fuel card 277
</t>
      </text>
    </comment>
    <comment ref="O10" authorId="2" shapeId="0" xr:uid="{08FC768E-50AA-48C1-ADA2-7273C8B4DBA8}">
      <text>
        <t>[Threaded comment]
Your version of Excel allows you to read this threaded comment; however, any edits to it will get removed if the file is opened in a newer version of Excel. Learn more: https://go.microsoft.com/fwlink/?linkid=870924
Comment:
    FUEL CARD MUD 137
yarik fuel card 232</t>
      </text>
    </comment>
    <comment ref="O23" authorId="3" shapeId="0" xr:uid="{89E821C3-452C-4AFA-A209-C2D5C953DB2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Yarik fuel card 59
</t>
      </text>
    </comment>
    <comment ref="J30" authorId="4" shapeId="0" xr:uid="{1B3778F0-3A20-4506-8C18-AD31989CBA47}">
      <text>
        <t>[Threaded comment]
Your version of Excel allows you to read this threaded comment; however, any edits to it will get removed if the file is opened in a newer version of Excel. Learn more: https://go.microsoft.com/fwlink/?linkid=870924
Comment:
    TA FUEL CARD 7587.75</t>
      </text>
    </comment>
    <comment ref="O32" authorId="5" shapeId="0" xr:uid="{01365EB0-0D28-4632-83E6-7A67324A1B7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Yarik fuel card 240
</t>
      </text>
    </comment>
    <comment ref="O33" authorId="6" shapeId="0" xr:uid="{09BEE8E1-49CF-4F76-89A1-CFC9F9001CE2}">
      <text>
        <t>[Threaded comment]
Your version of Excel allows you to read this threaded comment; however, any edits to it will get removed if the file is opened in a newer version of Excel. Learn more: https://go.microsoft.com/fwlink/?linkid=870924
Comment:
    Yarik fuel card 455</t>
      </text>
    </comment>
    <comment ref="O36" authorId="7" shapeId="0" xr:uid="{B1CB1F2D-99E9-41AD-8C2F-542D8F215D06}">
      <text>
        <t>[Threaded comment]
Your version of Excel allows you to read this threaded comment; however, any edits to it will get removed if the file is opened in a newer version of Excel. Learn more: https://go.microsoft.com/fwlink/?linkid=870924
Comment:
    Yarki fuel card</t>
      </text>
    </comment>
    <comment ref="O37" authorId="8" shapeId="0" xr:uid="{FD137755-5F0D-46EC-B87E-8316BA588AD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Yarki fuel card 
</t>
      </text>
    </comment>
  </commentList>
</comments>
</file>

<file path=xl/sharedStrings.xml><?xml version="1.0" encoding="utf-8"?>
<sst xmlns="http://schemas.openxmlformats.org/spreadsheetml/2006/main" count="2480" uniqueCount="135">
  <si>
    <t>2019</t>
  </si>
  <si>
    <t>AZ</t>
  </si>
  <si>
    <t>CA</t>
  </si>
  <si>
    <t>ID</t>
  </si>
  <si>
    <t>MT</t>
  </si>
  <si>
    <t>NV</t>
  </si>
  <si>
    <t>OR</t>
  </si>
  <si>
    <t>UT</t>
  </si>
  <si>
    <t>WA</t>
  </si>
  <si>
    <t>TOTAL</t>
  </si>
  <si>
    <t>2017</t>
  </si>
  <si>
    <t>CO</t>
  </si>
  <si>
    <t>ND</t>
  </si>
  <si>
    <t>NE</t>
  </si>
  <si>
    <t>NM</t>
  </si>
  <si>
    <t>OK</t>
  </si>
  <si>
    <t>SD</t>
  </si>
  <si>
    <t>TX</t>
  </si>
  <si>
    <t>WY</t>
  </si>
  <si>
    <t>2016</t>
  </si>
  <si>
    <t>AL</t>
  </si>
  <si>
    <t>AR</t>
  </si>
  <si>
    <t>IA</t>
  </si>
  <si>
    <t>IL</t>
  </si>
  <si>
    <t>IN</t>
  </si>
  <si>
    <t>KS</t>
  </si>
  <si>
    <t>KY</t>
  </si>
  <si>
    <t>MO</t>
  </si>
  <si>
    <t>MS</t>
  </si>
  <si>
    <t>OH</t>
  </si>
  <si>
    <t>TN</t>
  </si>
  <si>
    <t>2013</t>
  </si>
  <si>
    <t>GA</t>
  </si>
  <si>
    <t>NC</t>
  </si>
  <si>
    <t>SC</t>
  </si>
  <si>
    <t>Tax Rate</t>
  </si>
  <si>
    <t>STATE</t>
  </si>
  <si>
    <t>MILES</t>
  </si>
  <si>
    <t>GALLONS</t>
  </si>
  <si>
    <t>MPG</t>
  </si>
  <si>
    <t>STATE2</t>
  </si>
  <si>
    <t>MILES3</t>
  </si>
  <si>
    <t>GALLONS4</t>
  </si>
  <si>
    <t>MPG2</t>
  </si>
  <si>
    <t>STATE3</t>
  </si>
  <si>
    <t>MILES4</t>
  </si>
  <si>
    <t>GALLONS5</t>
  </si>
  <si>
    <t>MPG3</t>
  </si>
  <si>
    <t>STATE4</t>
  </si>
  <si>
    <t>MILES5</t>
  </si>
  <si>
    <t>GALLONS6</t>
  </si>
  <si>
    <t>MPG4</t>
  </si>
  <si>
    <t>STATE5</t>
  </si>
  <si>
    <t>MILES6</t>
  </si>
  <si>
    <t>LA</t>
  </si>
  <si>
    <t>MN</t>
  </si>
  <si>
    <t>VA</t>
  </si>
  <si>
    <t xml:space="preserve">
</t>
  </si>
  <si>
    <t>WI</t>
  </si>
  <si>
    <t>FL</t>
  </si>
  <si>
    <t>IFTA Q1 2025</t>
  </si>
  <si>
    <t>Tax Paid Fuel (Gallons)</t>
  </si>
  <si>
    <t>Taxable Fuel (Gallons)</t>
  </si>
  <si>
    <t>Net Taxable Fuel (Gallons)</t>
  </si>
  <si>
    <t>Tax Due (Credit)</t>
  </si>
  <si>
    <t>PERMIT</t>
  </si>
  <si>
    <t>OREGON</t>
  </si>
  <si>
    <t>IFTA Q2 2025</t>
  </si>
  <si>
    <t>TA GALLONS</t>
  </si>
  <si>
    <t>EDS GALLONS</t>
  </si>
  <si>
    <t>PILOT GALLONS</t>
  </si>
  <si>
    <t>TRUCK</t>
  </si>
  <si>
    <t>TRUCK2</t>
  </si>
  <si>
    <t>TA GALLONS4</t>
  </si>
  <si>
    <t>TA GALLONS2</t>
  </si>
  <si>
    <t>PILOT GALLONS2</t>
  </si>
  <si>
    <t>EDS GALLONS2</t>
  </si>
  <si>
    <t>TOTAL2</t>
  </si>
  <si>
    <t>TA GALLONS3</t>
  </si>
  <si>
    <t>TRUCK3</t>
  </si>
  <si>
    <t>PILOT GALLONS3</t>
  </si>
  <si>
    <t>EDS GALLONS3</t>
  </si>
  <si>
    <t>TOTAL3</t>
  </si>
  <si>
    <t>TRUCK4</t>
  </si>
  <si>
    <t>PILOT GALLONS4</t>
  </si>
  <si>
    <t>EDS GALLONS4</t>
  </si>
  <si>
    <t>TOTAL4</t>
  </si>
  <si>
    <t>TOTAL5</t>
  </si>
  <si>
    <t>IFTA Q3 2025</t>
  </si>
  <si>
    <t>2015</t>
  </si>
  <si>
    <t xml:space="preserve">Pilot </t>
  </si>
  <si>
    <t>relay2</t>
  </si>
  <si>
    <t>Pilot</t>
  </si>
  <si>
    <t>Relay3</t>
  </si>
  <si>
    <t>Pilot 2</t>
  </si>
  <si>
    <t>Relay4</t>
  </si>
  <si>
    <t>Pilot2</t>
  </si>
  <si>
    <t>Realy</t>
  </si>
  <si>
    <t>IFTA Q4 2025</t>
  </si>
  <si>
    <t>Q3 2024</t>
  </si>
  <si>
    <t>Q4 2024</t>
  </si>
  <si>
    <t>Q1 2025</t>
  </si>
  <si>
    <t>Q2 2025</t>
  </si>
  <si>
    <t>IRP RENEWAL REPORT 2026</t>
  </si>
  <si>
    <t>WV</t>
  </si>
  <si>
    <t>IFTA</t>
  </si>
  <si>
    <t>MPG5</t>
  </si>
  <si>
    <t>STATE6</t>
  </si>
  <si>
    <t>MILES2</t>
  </si>
  <si>
    <t>GALLONS2</t>
  </si>
  <si>
    <t>MPG6</t>
  </si>
  <si>
    <t>55</t>
  </si>
  <si>
    <t>STATE7</t>
  </si>
  <si>
    <t>MILES7</t>
  </si>
  <si>
    <t>GALLONS3</t>
  </si>
  <si>
    <t>MPG7</t>
  </si>
  <si>
    <t>07</t>
  </si>
  <si>
    <t>STATE8</t>
  </si>
  <si>
    <t>MILES8</t>
  </si>
  <si>
    <t>GALLONS7</t>
  </si>
  <si>
    <t>PA</t>
  </si>
  <si>
    <t xml:space="preserve">IFTA </t>
  </si>
  <si>
    <t>FEE</t>
  </si>
  <si>
    <t>CT</t>
  </si>
  <si>
    <t>DE</t>
  </si>
  <si>
    <t>MA</t>
  </si>
  <si>
    <t>MD</t>
  </si>
  <si>
    <t>ME</t>
  </si>
  <si>
    <t>MI</t>
  </si>
  <si>
    <t>NH</t>
  </si>
  <si>
    <t>NY</t>
  </si>
  <si>
    <t>RI</t>
  </si>
  <si>
    <t>VT</t>
  </si>
  <si>
    <t xml:space="preserve">	0.3100</t>
  </si>
  <si>
    <t>IFTA 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</si>
</sst>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44" formatCode="_(&quot;$&quot;* #,##0.00_);_(&quot;$&quot;* \(#,##0.00\);_(&quot;$&quot;* &quot;-&quot;??_);_(@_)"/>
    <numFmt numFmtId="164" formatCode="[$$-409]#,##0.00"/>
    <numFmt numFmtId="165" formatCode="0.0000"/>
  </numFmts>
  <fonts count="10" x14ac:knownFonts="1">
    <font>
      <sz val="10"/>
      <name val="Arial"/>
    </font>
    <font>
      <b/>
      <sz val="10"/>
      <name val="Times New Roman"/>
      <family val="1"/>
    </font>
    <font>
      <sz val="36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name val="Times New Roman"/>
      <family val="1"/>
    </font>
    <font>
      <sz val="6"/>
      <name val="Yu Gothic"/>
      <family val="2"/>
      <charset val="128"/>
    </font>
    <font>
      <sz val="10"/>
      <color theme="1"/>
      <name val="Arial"/>
      <family val="2"/>
    </font>
    <font>
      <sz val="9"/>
      <color rgb="FF202020"/>
      <name val="Arial"/>
      <family val="2"/>
    </font>
    <font>
      <sz val="11"/>
      <color rgb="FF33333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 applyNumberFormat="0" applyFont="0" applyFill="0" applyBorder="0" applyAlignment="0" applyProtection="0"/>
    <xf numFmtId="44" fontId="3" fillId="0" borderId="0" applyFont="0" applyFill="0" applyBorder="0" applyAlignment="0" applyProtection="0"/>
  </cellStyleXfs>
  <cellXfs count="46">
    <xf numFmtId="0" fontId="0" fillId="0" borderId="0" xfId="0" applyNumberFormat="1" applyFont="1" applyFill="1" applyBorder="1" applyAlignment="1"/>
    <xf numFmtId="0" fontId="1" fillId="0" borderId="0" xfId="0" applyNumberFormat="1" applyFont="1" applyFill="1" applyBorder="1" applyAlignment="1"/>
    <xf numFmtId="8" fontId="0" fillId="0" borderId="0" xfId="0" applyNumberFormat="1" applyFont="1" applyFill="1" applyBorder="1" applyAlignment="1"/>
    <xf numFmtId="0" fontId="0" fillId="0" borderId="0" xfId="0" applyNumberFormat="1" applyFont="1" applyFill="1" applyBorder="1" applyAlignment="1">
      <alignment wrapText="1"/>
    </xf>
    <xf numFmtId="0" fontId="5" fillId="0" borderId="0" xfId="0" applyNumberFormat="1" applyFont="1" applyFill="1" applyBorder="1" applyAlignment="1"/>
    <xf numFmtId="8" fontId="4" fillId="0" borderId="0" xfId="0" applyNumberFormat="1" applyFont="1" applyFill="1" applyBorder="1" applyAlignment="1"/>
    <xf numFmtId="44" fontId="0" fillId="0" borderId="0" xfId="1" applyFont="1" applyFill="1" applyBorder="1" applyAlignment="1"/>
    <xf numFmtId="0" fontId="4" fillId="0" borderId="0" xfId="0" applyNumberFormat="1" applyFont="1" applyFill="1" applyBorder="1" applyAlignment="1"/>
    <xf numFmtId="8" fontId="0" fillId="0" borderId="0" xfId="0" applyNumberFormat="1" applyFont="1" applyFill="1" applyBorder="1" applyAlignment="1">
      <alignment wrapText="1"/>
    </xf>
    <xf numFmtId="8" fontId="4" fillId="0" borderId="0" xfId="0" applyNumberFormat="1" applyFont="1" applyFill="1" applyBorder="1" applyAlignment="1">
      <alignment wrapText="1"/>
    </xf>
    <xf numFmtId="164" fontId="0" fillId="0" borderId="0" xfId="0" applyNumberFormat="1" applyFont="1" applyFill="1" applyBorder="1" applyAlignment="1"/>
    <xf numFmtId="165" fontId="0" fillId="0" borderId="0" xfId="0" applyNumberFormat="1" applyFont="1" applyFill="1" applyBorder="1" applyAlignment="1">
      <alignment wrapText="1"/>
    </xf>
    <xf numFmtId="165" fontId="0" fillId="0" borderId="0" xfId="0" applyNumberFormat="1" applyFont="1" applyFill="1" applyBorder="1" applyAlignment="1"/>
    <xf numFmtId="0" fontId="0" fillId="0" borderId="0" xfId="0" applyNumberFormat="1" applyFont="1" applyFill="1" applyBorder="1" applyAlignment="1">
      <alignment horizontal="center" vertical="center"/>
    </xf>
    <xf numFmtId="2" fontId="0" fillId="0" borderId="0" xfId="0" applyNumberFormat="1" applyFont="1" applyFill="1" applyBorder="1" applyAlignment="1"/>
    <xf numFmtId="1" fontId="0" fillId="0" borderId="0" xfId="0" applyNumberFormat="1" applyFont="1" applyFill="1" applyBorder="1" applyAlignment="1"/>
    <xf numFmtId="2" fontId="0" fillId="0" borderId="0" xfId="0" applyNumberFormat="1" applyFont="1" applyFill="1" applyBorder="1" applyAlignment="1">
      <alignment wrapText="1"/>
    </xf>
    <xf numFmtId="2" fontId="0" fillId="0" borderId="0" xfId="0" applyNumberFormat="1" applyFont="1" applyFill="1" applyBorder="1" applyAlignment="1">
      <alignment horizontal="center" vertical="center"/>
    </xf>
    <xf numFmtId="164" fontId="0" fillId="0" borderId="0" xfId="0" applyNumberFormat="1" applyFont="1" applyFill="1" applyBorder="1" applyAlignment="1">
      <alignment horizontal="center" vertical="center"/>
    </xf>
    <xf numFmtId="1" fontId="0" fillId="0" borderId="0" xfId="0" applyNumberFormat="1" applyFont="1" applyFill="1" applyBorder="1" applyAlignment="1">
      <alignment horizontal="center" vertical="center"/>
    </xf>
    <xf numFmtId="165" fontId="0" fillId="0" borderId="0" xfId="0" applyNumberFormat="1" applyFont="1" applyFill="1" applyBorder="1" applyAlignment="1">
      <alignment horizontal="center" vertical="center"/>
    </xf>
    <xf numFmtId="44" fontId="0" fillId="0" borderId="0" xfId="1" applyFont="1" applyFill="1" applyBorder="1" applyAlignment="1">
      <alignment horizontal="center"/>
    </xf>
    <xf numFmtId="44" fontId="0" fillId="0" borderId="0" xfId="1" applyFont="1" applyFill="1" applyBorder="1" applyAlignment="1">
      <alignment horizontal="center" vertical="center"/>
    </xf>
    <xf numFmtId="0" fontId="7" fillId="0" borderId="1" xfId="0" applyNumberFormat="1" applyFont="1" applyBorder="1" applyAlignment="1"/>
    <xf numFmtId="0" fontId="7" fillId="2" borderId="1" xfId="0" applyFont="1" applyFill="1" applyBorder="1"/>
    <xf numFmtId="0" fontId="7" fillId="0" borderId="1" xfId="0" applyFont="1" applyBorder="1"/>
    <xf numFmtId="0" fontId="7" fillId="2" borderId="2" xfId="0" applyFont="1" applyFill="1" applyBorder="1"/>
    <xf numFmtId="0" fontId="7" fillId="0" borderId="2" xfId="0" applyFont="1" applyBorder="1"/>
    <xf numFmtId="0" fontId="3" fillId="0" borderId="0" xfId="0" applyNumberFormat="1" applyFont="1" applyFill="1" applyBorder="1" applyAlignment="1"/>
    <xf numFmtId="44" fontId="0" fillId="0" borderId="0" xfId="1" applyFont="1" applyFill="1" applyBorder="1" applyAlignment="1">
      <alignment wrapText="1"/>
    </xf>
    <xf numFmtId="44" fontId="4" fillId="0" borderId="0" xfId="1" applyFont="1" applyFill="1" applyBorder="1" applyAlignment="1">
      <alignment wrapText="1"/>
    </xf>
    <xf numFmtId="44" fontId="4" fillId="0" borderId="0" xfId="1" applyFont="1" applyFill="1" applyBorder="1" applyAlignment="1"/>
    <xf numFmtId="0" fontId="2" fillId="0" borderId="0" xfId="0" applyNumberFormat="1" applyFont="1" applyFill="1" applyBorder="1" applyAlignment="1"/>
    <xf numFmtId="49" fontId="0" fillId="0" borderId="0" xfId="0" applyNumberFormat="1" applyFont="1" applyFill="1" applyBorder="1" applyAlignment="1"/>
    <xf numFmtId="49" fontId="2" fillId="0" borderId="0" xfId="0" applyNumberFormat="1" applyFont="1" applyFill="1" applyBorder="1" applyAlignment="1"/>
    <xf numFmtId="0" fontId="0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center"/>
    </xf>
    <xf numFmtId="0" fontId="0" fillId="4" borderId="3" xfId="0" applyNumberFormat="1" applyFont="1" applyFill="1" applyBorder="1" applyAlignment="1"/>
    <xf numFmtId="0" fontId="0" fillId="3" borderId="3" xfId="0" applyNumberFormat="1" applyFont="1" applyFill="1" applyBorder="1" applyAlignment="1">
      <alignment horizontal="center" vertical="center"/>
    </xf>
    <xf numFmtId="0" fontId="0" fillId="5" borderId="3" xfId="0" applyNumberFormat="1" applyFont="1" applyFill="1" applyBorder="1" applyAlignment="1"/>
    <xf numFmtId="0" fontId="0" fillId="5" borderId="0" xfId="0" applyNumberFormat="1" applyFont="1" applyFill="1" applyBorder="1" applyAlignment="1"/>
    <xf numFmtId="0" fontId="0" fillId="3" borderId="0" xfId="0" applyNumberFormat="1" applyFont="1" applyFill="1" applyBorder="1" applyAlignment="1"/>
    <xf numFmtId="165" fontId="2" fillId="0" borderId="0" xfId="0" applyNumberFormat="1" applyFont="1" applyFill="1" applyBorder="1" applyAlignment="1"/>
    <xf numFmtId="165" fontId="8" fillId="0" borderId="0" xfId="0" applyNumberFormat="1" applyFont="1" applyFill="1" applyBorder="1" applyAlignment="1"/>
    <xf numFmtId="0" fontId="0" fillId="0" borderId="0" xfId="0" applyNumberFormat="1" applyFont="1" applyFill="1" applyBorder="1" applyAlignment="1">
      <alignment horizontal="right"/>
    </xf>
    <xf numFmtId="44" fontId="9" fillId="0" borderId="0" xfId="1" applyFont="1" applyFill="1" applyBorder="1" applyAlignment="1"/>
  </cellXfs>
  <cellStyles count="2">
    <cellStyle name="Currency" xfId="1" builtinId="4"/>
    <cellStyle name="Normal" xfId="0" builtinId="0"/>
  </cellStyles>
  <dxfs count="6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0.00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  <alignment horizontal="center" vertical="center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numFmt numFmtId="0" formatCode="General"/>
      <alignment horizontal="center" vertical="center"/>
    </dxf>
    <dxf>
      <numFmt numFmtId="0" formatCode="General"/>
    </dxf>
    <dxf>
      <numFmt numFmtId="30" formatCode="@"/>
      <alignment wrapText="0"/>
    </dxf>
    <dxf>
      <numFmt numFmtId="0" formatCode="General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numFmt numFmtId="0" formatCode="General"/>
      <alignment horizontal="center" vertical="center"/>
    </dxf>
    <dxf>
      <numFmt numFmtId="0" formatCode="General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numFmt numFmtId="0" formatCode="General"/>
      <alignment horizontal="center" vertical="center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border outline="0">
        <left style="thin">
          <color theme="4"/>
        </left>
      </border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border outline="0">
        <left style="thin">
          <color theme="4"/>
        </left>
      </border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numFmt numFmtId="0" formatCode="General"/>
      <alignment horizontal="center" vertical="center"/>
    </dxf>
    <dxf>
      <numFmt numFmtId="0" formatCode="General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numFmt numFmtId="0" formatCode="General"/>
      <alignment horizontal="center" vertical="center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numFmt numFmtId="30" formatCode="@"/>
      <alignment wrapText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microsoft.com/office/2017/10/relationships/person" Target="persons/person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12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styles" Target="styles.xml" /><Relationship Id="rId5" Type="http://schemas.openxmlformats.org/officeDocument/2006/relationships/worksheet" Target="worksheets/sheet5.xml" /><Relationship Id="rId10" Type="http://schemas.openxmlformats.org/officeDocument/2006/relationships/theme" Target="theme/theme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calcChain" Target="calcChain.xml" 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avyd Maksymchuk" id="{693FB19F-BF38-4CE0-87CF-3C2EF6182A39}" userId="fd5a3694da4a4191" providerId="Windows Liv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7E66317-58F2-4E49-82D8-12A745C67225}" name="Table7" displayName="Table7" ref="B6:AB50" totalsRowShown="0">
  <autoFilter ref="B6:AB50" xr:uid="{33DA172C-2E45-4B7E-B796-3A48159389C9}"/>
  <tableColumns count="27">
    <tableColumn id="1" xr3:uid="{00000000-0010-0000-0100-000001000000}" name="2013"/>
    <tableColumn id="2" xr3:uid="{00000000-0010-0000-0100-000002000000}" name="STATE"/>
    <tableColumn id="3" xr3:uid="{00000000-0010-0000-0100-000003000000}" name="MILES"/>
    <tableColumn id="4" xr3:uid="{00000000-0010-0000-0100-000004000000}" name="GALLONS"/>
    <tableColumn id="5" xr3:uid="{00000000-0010-0000-0100-000005000000}" name="MPG"/>
    <tableColumn id="6" xr3:uid="{00000000-0010-0000-0100-000006000000}" name="2016"/>
    <tableColumn id="7" xr3:uid="{00000000-0010-0000-0100-000007000000}" name="STATE2"/>
    <tableColumn id="8" xr3:uid="{00000000-0010-0000-0100-000008000000}" name="MILES3"/>
    <tableColumn id="9" xr3:uid="{00000000-0010-0000-0100-000009000000}" name="GALLONS4"/>
    <tableColumn id="10" xr3:uid="{00000000-0010-0000-0100-00000A000000}" name="MPG2"/>
    <tableColumn id="11" xr3:uid="{00000000-0010-0000-0100-00000B000000}" name="2017"/>
    <tableColumn id="12" xr3:uid="{00000000-0010-0000-0100-00000C000000}" name="STATE3"/>
    <tableColumn id="13" xr3:uid="{00000000-0010-0000-0100-00000D000000}" name="MILES4"/>
    <tableColumn id="14" xr3:uid="{00000000-0010-0000-0100-00000E000000}" name="GALLONS5"/>
    <tableColumn id="15" xr3:uid="{00000000-0010-0000-0100-00000F000000}" name="MPG3"/>
    <tableColumn id="16" xr3:uid="{00000000-0010-0000-0100-000010000000}" name="2019"/>
    <tableColumn id="17" xr3:uid="{00000000-0010-0000-0100-000011000000}" name="STATE4"/>
    <tableColumn id="18" xr3:uid="{00000000-0010-0000-0100-000012000000}" name="MILES5"/>
    <tableColumn id="19" xr3:uid="{00000000-0010-0000-0100-000013000000}" name="GALLONS6"/>
    <tableColumn id="20" xr3:uid="{00000000-0010-0000-0100-000014000000}" name="MPG4"/>
    <tableColumn id="21" xr3:uid="{00000000-0010-0000-0100-000015000000}" name="STATE5"/>
    <tableColumn id="22" xr3:uid="{00000000-0010-0000-0100-000016000000}" name="MILES6" dataDxfId="65">
      <calculatedColumnFormula>SUM(D7,I7,N7,S7)</calculatedColumnFormula>
    </tableColumn>
    <tableColumn id="23" xr3:uid="{00000000-0010-0000-0100-000017000000}" name="Tax Paid Fuel (Gallons)" dataDxfId="64">
      <calculatedColumnFormula>SUM(E7,J7,O7,T7)</calculatedColumnFormula>
    </tableColumn>
    <tableColumn id="28" xr3:uid="{603FAF25-FEBE-6346-864C-BB7A27566129}" name="Taxable Fuel (Gallons)" dataDxfId="63">
      <calculatedColumnFormula>SUM(Z43)</calculatedColumnFormula>
    </tableColumn>
    <tableColumn id="24" xr3:uid="{00000000-0010-0000-0100-000018000000}" name="Net Taxable Fuel (Gallons)" dataDxfId="62"/>
    <tableColumn id="31" xr3:uid="{B5415336-56FD-8B42-BEAC-62DACF485839}" name="Tax Rate" dataDxfId="61"/>
    <tableColumn id="25" xr3:uid="{465DE2F5-85A7-D04E-ACEA-7EB606C9B87A}" name="Tax Due (Credit)" dataDxfId="60">
      <calculatedColumnFormula>SUM(Table7[[#This Row],[Net Taxable Fuel (Gallons)]]*Table7[[#This Row],[Tax Rate]])</calculatedColumnFormula>
    </tableColumn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C8DEB4A-0E0E-4B13-9B48-4B41598741CC}" name="Table73" displayName="Table73" ref="B6:AB50" totalsRowShown="0">
  <autoFilter ref="B6:AB50" xr:uid="{0C8DEB4A-0E0E-4B13-9B48-4B41598741CC}"/>
  <tableColumns count="27">
    <tableColumn id="1" xr3:uid="{E90C71C5-37A3-4518-9227-E30C808F72C0}" name="2013"/>
    <tableColumn id="2" xr3:uid="{A6CBA4EA-F19E-476A-B4FB-7067099D83AD}" name="STATE"/>
    <tableColumn id="3" xr3:uid="{02CB75BF-5CBF-4886-9290-66B273B1345E}" name="MILES"/>
    <tableColumn id="4" xr3:uid="{1AEA95D0-B0DB-4CD6-B584-B8C06338A5AC}" name="GALLONS"/>
    <tableColumn id="5" xr3:uid="{B7563AAD-3604-4B5B-8FC5-8959545E1654}" name="MPG"/>
    <tableColumn id="6" xr3:uid="{26CC0FFF-A97D-43E3-93F1-DB0313F224EE}" name="2016"/>
    <tableColumn id="7" xr3:uid="{57E29AE5-2039-443C-9F61-F92FE3EDD180}" name="STATE2"/>
    <tableColumn id="8" xr3:uid="{DF0A1324-D870-495B-B720-A07E3CB30428}" name="MILES3"/>
    <tableColumn id="9" xr3:uid="{1F8A550C-BCE0-4717-B2FD-0275B8EC02EC}" name="GALLONS4"/>
    <tableColumn id="10" xr3:uid="{FEA8ED16-FDD2-42BC-87C2-31CB5510FAD2}" name="MPG2"/>
    <tableColumn id="11" xr3:uid="{40FC7A3D-952C-4FC1-8D4C-636DF1AC2223}" name="2017"/>
    <tableColumn id="12" xr3:uid="{04E91B2F-D8A3-49F7-98F1-6F456D9BFF45}" name="STATE3"/>
    <tableColumn id="13" xr3:uid="{C98657DC-9FAF-42A6-8A0E-4D9E1442C65A}" name="MILES4"/>
    <tableColumn id="14" xr3:uid="{41AFF257-E12D-4502-BD42-47F0587F9775}" name="GALLONS5"/>
    <tableColumn id="15" xr3:uid="{C1B5C49F-7DD6-4778-BF54-5EAFB9B69953}" name="MPG3"/>
    <tableColumn id="16" xr3:uid="{8C49FBFC-D726-4AE8-9640-ED46C11DFB79}" name="2019"/>
    <tableColumn id="17" xr3:uid="{EF5A5966-F31D-4D2D-BE63-C2D61972D738}" name="STATE4"/>
    <tableColumn id="18" xr3:uid="{B236BD57-9640-4BFD-8D09-2200F223CD19}" name="MILES5"/>
    <tableColumn id="19" xr3:uid="{17EA31E2-BE21-4FDE-B937-46D007E34602}" name="GALLONS6"/>
    <tableColumn id="20" xr3:uid="{ECE20447-4C70-4367-B8DF-B446B8A2F71E}" name="MPG4"/>
    <tableColumn id="21" xr3:uid="{4577651B-6FA9-45ED-98C0-A092215553F1}" name="STATE5"/>
    <tableColumn id="22" xr3:uid="{6D99E71F-8786-4474-976F-AAF2B94FBD4C}" name="MILES6" dataDxfId="59">
      <calculatedColumnFormula>SUM(D7,I7,N7,S7)</calculatedColumnFormula>
    </tableColumn>
    <tableColumn id="23" xr3:uid="{BFA66D49-29E2-48EF-9909-CE3C951D2D43}" name="Tax Paid Fuel (Gallons)" dataDxfId="58">
      <calculatedColumnFormula>SUM(E7,J7,O7,T7)</calculatedColumnFormula>
    </tableColumn>
    <tableColumn id="28" xr3:uid="{2011DBDB-4B7D-428D-926D-0FB9B57FF8BC}" name="Taxable Fuel (Gallons)" dataDxfId="57">
      <calculatedColumnFormula>SUM(Z43)</calculatedColumnFormula>
    </tableColumn>
    <tableColumn id="24" xr3:uid="{391F16F6-A27A-4F15-9D10-2592C54D1695}" name="Net Taxable Fuel (Gallons)" dataDxfId="56"/>
    <tableColumn id="31" xr3:uid="{A0212FBD-2DB8-4BFD-B627-8B9A8441936E}" name="Tax Rate" dataDxfId="55"/>
    <tableColumn id="25" xr3:uid="{FD0A6198-E01B-4635-AE96-334790ADFE5D}" name="Tax Due (Credit)" dataDxfId="54">
      <calculatedColumnFormula>SUM(Table73[[#This Row],[Net Taxable Fuel (Gallons)]]*Table73[[#This Row],[Tax Rate]])</calculatedColumnFormula>
    </tableColumn>
  </tableColumns>
  <tableStyleInfo name="TableStyleLight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F35F99-32F7-4925-AB49-BAD2FB2FA1B0}" name="Table1" displayName="Table1" ref="A1:Z38" totalsRowShown="0" tableBorderDxfId="53">
  <autoFilter ref="A1:Z38" xr:uid="{A1F35F99-32F7-4925-AB49-BAD2FB2FA1B0}"/>
  <tableColumns count="26">
    <tableColumn id="1" xr3:uid="{AC5FCFD8-D194-4882-8EFA-B7E649E81484}" name="TRUCK" dataDxfId="52"/>
    <tableColumn id="2" xr3:uid="{2FF717EE-DC94-47F4-89C4-B99D60E5694E}" name="STATE" dataDxfId="51"/>
    <tableColumn id="3" xr3:uid="{9976723A-2131-4AA7-B60C-2557DB4FAE2E}" name="TA GALLONS"/>
    <tableColumn id="4" xr3:uid="{668C2534-4E0C-4AF3-A9B8-31753E26D715}" name="PILOT GALLONS"/>
    <tableColumn id="5" xr3:uid="{74643163-63C0-4008-9F94-C341FDCAB94C}" name="EDS GALLONS"/>
    <tableColumn id="6" xr3:uid="{45B840A3-6A1F-4B4F-A850-7F388D950CA5}" name="TOTAL" dataDxfId="50">
      <calculatedColumnFormula>SUM(C2,D2,E2)</calculatedColumnFormula>
    </tableColumn>
    <tableColumn id="7" xr3:uid="{65AEE17A-3432-4322-A22F-A83102D6E1ED}" name="TRUCK2" dataDxfId="49"/>
    <tableColumn id="8" xr3:uid="{60544375-E7D8-485E-B850-38C0AEA49668}" name="STATE2" dataDxfId="48"/>
    <tableColumn id="9" xr3:uid="{29C9B3B5-F477-4DF2-8CC9-DB8E564BFDA4}" name="TA GALLONS2"/>
    <tableColumn id="10" xr3:uid="{E7EEDAD2-B14D-429B-8CCD-E4A3EAE2DC1F}" name="PILOT GALLONS2"/>
    <tableColumn id="11" xr3:uid="{4395F6A9-C1BC-46D5-A913-053DF6A51461}" name="EDS GALLONS2" dataDxfId="47"/>
    <tableColumn id="12" xr3:uid="{B3BB4387-924D-4B57-9C48-2DBBAA54A27F}" name="TOTAL2" dataDxfId="46">
      <calculatedColumnFormula>SUM(Table1[[#This Row],[TA GALLONS2]:[EDS GALLONS2]])</calculatedColumnFormula>
    </tableColumn>
    <tableColumn id="13" xr3:uid="{91EEF784-73D5-4A15-8DC8-CF191A3A399B}" name="TRUCK3" dataDxfId="45"/>
    <tableColumn id="14" xr3:uid="{AC39C54F-A959-4648-A0FE-4070A0BF66E9}" name="STATE3" dataDxfId="44"/>
    <tableColumn id="15" xr3:uid="{07A1CDEC-C363-4128-8B01-EAF37A3314C8}" name="TA GALLONS3"/>
    <tableColumn id="16" xr3:uid="{21F55135-B628-4AA1-A33E-63EBAF3F71FE}" name="PILOT GALLONS3"/>
    <tableColumn id="17" xr3:uid="{4B070B7B-A390-4A33-80AE-99AE360F95EC}" name="EDS GALLONS3"/>
    <tableColumn id="18" xr3:uid="{D2447517-BACE-40F8-8957-37BF23CB2AFD}" name="TOTAL3" dataDxfId="43">
      <calculatedColumnFormula>SUM(Table1[[#This Row],[TA GALLONS3]:[EDS GALLONS3]])</calculatedColumnFormula>
    </tableColumn>
    <tableColumn id="19" xr3:uid="{EA24ED63-8B86-4524-B1D6-942F8D9B1A23}" name="TRUCK4" dataDxfId="42"/>
    <tableColumn id="20" xr3:uid="{862BB426-3C19-4DD0-9319-64061DC3567B}" name="STATE4" dataDxfId="41"/>
    <tableColumn id="21" xr3:uid="{A6C839B0-86D5-4FF8-8263-C899F443BA5B}" name="TA GALLONS4"/>
    <tableColumn id="22" xr3:uid="{4F772AB9-A32A-4BE7-985D-1A0F9A68E208}" name="PILOT GALLONS4"/>
    <tableColumn id="23" xr3:uid="{47402D5C-4A0A-467E-8263-F6FEAF3808B6}" name="EDS GALLONS4"/>
    <tableColumn id="24" xr3:uid="{456187F4-9A13-44D6-AC67-B7BCA2140719}" name="TOTAL4" dataDxfId="40">
      <calculatedColumnFormula>SUM(Table1[[#This Row],[TA GALLONS4]:[EDS GALLONS4]])</calculatedColumnFormula>
    </tableColumn>
    <tableColumn id="25" xr3:uid="{8ABE2CF9-BD4F-409F-B108-2BBA3F6E0A24}" name="STATE5"/>
    <tableColumn id="26" xr3:uid="{E1CCA62B-36A6-49B5-BDAE-DBF935DB9D63}" name="TOTAL5" dataDxfId="39">
      <calculatedColumnFormula>SUM(F2,L2,R2,X2)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CBBA4F6-36EE-4008-AB3C-C22C46E32933}" name="Table14" displayName="Table14" ref="A1:Z38" totalsRowShown="0" tableBorderDxfId="38">
  <autoFilter ref="A1:Z38" xr:uid="{2CBBA4F6-36EE-4008-AB3C-C22C46E32933}"/>
  <tableColumns count="26">
    <tableColumn id="1" xr3:uid="{DE85E7B2-9E9F-4FA4-9351-171FB7B413B6}" name="TRUCK" dataDxfId="37"/>
    <tableColumn id="2" xr3:uid="{D7AFCEC6-7166-41B3-9379-7FBC3052CB13}" name="STATE" dataDxfId="36"/>
    <tableColumn id="3" xr3:uid="{10F97F61-5991-4AC4-A732-71C099038EB5}" name="Pilot"/>
    <tableColumn id="4" xr3:uid="{AD69C105-B8D4-4832-8CF7-7D0B857A954B}" name="Realy"/>
    <tableColumn id="5" xr3:uid="{75D34AE5-516B-4151-90A0-B46ACE28AA77}" name="EDS GALLONS"/>
    <tableColumn id="6" xr3:uid="{3EC67148-57A5-4D86-9BC1-DEE51472C665}" name="TOTAL" dataDxfId="35">
      <calculatedColumnFormula>SUM(C2,D2,E2)</calculatedColumnFormula>
    </tableColumn>
    <tableColumn id="7" xr3:uid="{8F822E87-B87F-40B4-BBC4-EDDF53FAF1B7}" name="TRUCK2" dataDxfId="34"/>
    <tableColumn id="8" xr3:uid="{384456F9-F848-4955-9B76-B3246B361B48}" name="STATE2" dataDxfId="33"/>
    <tableColumn id="9" xr3:uid="{49C0D17A-64A4-4CCF-AA7A-E9AC11FFAD6F}" name="Pilot "/>
    <tableColumn id="10" xr3:uid="{E5543D3B-A159-488B-A2FF-BCD992ACAE3D}" name="Relay4"/>
    <tableColumn id="11" xr3:uid="{80CEED01-4A89-4FB0-A88E-8CB3CB1D98CE}" name="EDS GALLONS2" dataDxfId="32"/>
    <tableColumn id="12" xr3:uid="{CFB63368-2091-4D4D-A86C-EB03C720254A}" name="TOTAL2" dataDxfId="31">
      <calculatedColumnFormula>SUM(Table14[[#This Row],[Pilot ]:[EDS GALLONS2]])</calculatedColumnFormula>
    </tableColumn>
    <tableColumn id="13" xr3:uid="{753BD7CE-5D86-4791-A9BA-7A3A5395FEA4}" name="TRUCK3" dataDxfId="30"/>
    <tableColumn id="14" xr3:uid="{88BF7BA4-98C8-4146-AC29-85CC6879722F}" name="STATE3" dataDxfId="29"/>
    <tableColumn id="15" xr3:uid="{EE8B2330-7B89-429C-A369-EEECAEB62336}" name="Pilot2"/>
    <tableColumn id="16" xr3:uid="{0279FD98-1710-44A2-9397-A7817F4AEAEF}" name="Relay3"/>
    <tableColumn id="17" xr3:uid="{5DCDCCFD-837A-4BC8-AB82-1AAAC05FDD88}" name="EDS GALLONS3"/>
    <tableColumn id="18" xr3:uid="{FB8F368F-02F2-4E0F-816D-4BE15DDE2953}" name="TOTAL3" dataDxfId="28">
      <calculatedColumnFormula>SUM(Table14[[#This Row],[Pilot2]:[EDS GALLONS3]])</calculatedColumnFormula>
    </tableColumn>
    <tableColumn id="19" xr3:uid="{0F41B30E-90A7-4B10-9020-5F5944F46351}" name="TRUCK4" dataDxfId="27"/>
    <tableColumn id="20" xr3:uid="{BAB0E234-EA38-4461-99BF-D8FF62C9D418}" name="STATE4" dataDxfId="26"/>
    <tableColumn id="21" xr3:uid="{C31F07E8-EE7B-4D90-9AAD-F77B1F721FEC}" name="Pilot 2"/>
    <tableColumn id="22" xr3:uid="{D779AFE2-F70E-44ED-B1BC-433110A65A9C}" name="relay2"/>
    <tableColumn id="23" xr3:uid="{E6F2F548-DE0C-42FE-A5E6-89CE19757E85}" name="EDS GALLONS4"/>
    <tableColumn id="24" xr3:uid="{1BBC8FB9-1DF2-4119-ACCF-A8E5F913DDBF}" name="TOTAL4" dataDxfId="25">
      <calculatedColumnFormula>SUM(Table14[[#This Row],[Pilot 2]:[EDS GALLONS4]])</calculatedColumnFormula>
    </tableColumn>
    <tableColumn id="25" xr3:uid="{58EB0342-53E7-42CE-B8F1-670BBEA6CC00}" name="STATE5"/>
    <tableColumn id="26" xr3:uid="{3B7FECFA-0AB5-4B6C-A4B0-67B99AF3E2A1}" name="TOTAL5" dataDxfId="24">
      <calculatedColumnFormula>SUM(F2,L2,R2,X2)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8EEE4E0-28FD-470D-BD0D-F01C84DE80EA}" name="Table735" displayName="Table735" ref="A6:AA50" totalsRowShown="0">
  <autoFilter ref="A6:AA50" xr:uid="{38EEE4E0-28FD-470D-BD0D-F01C84DE80EA}"/>
  <tableColumns count="27">
    <tableColumn id="1" xr3:uid="{7357EAB1-E100-41AC-B5C8-8A7A302287B2}" name="2013"/>
    <tableColumn id="2" xr3:uid="{053DE00D-1842-40D3-8BBC-43E02E2CD640}" name="STATE"/>
    <tableColumn id="3" xr3:uid="{4D2A9617-5810-407A-896F-EEF6EB463373}" name="MILES"/>
    <tableColumn id="4" xr3:uid="{156AC53C-10CC-44CF-81E3-804200F65C4E}" name="GALLONS"/>
    <tableColumn id="5" xr3:uid="{3A6CF050-382B-4AFE-B85E-96DECA866F1A}" name="MPG"/>
    <tableColumn id="6" xr3:uid="{1CB7B60D-A9C8-4512-B145-090B32D4F446}" name="2015"/>
    <tableColumn id="7" xr3:uid="{AB36CB24-F7A5-4054-9C65-F500A9D6A11B}" name="STATE2"/>
    <tableColumn id="8" xr3:uid="{5FE4772D-ACC7-43AC-BF9A-3F9E05771095}" name="MILES3"/>
    <tableColumn id="9" xr3:uid="{200EA7EE-477F-4903-9419-41585B3021EB}" name="GALLONS4"/>
    <tableColumn id="10" xr3:uid="{0E9683FA-717A-4225-85C2-1AB10A7AD24B}" name="MPG2"/>
    <tableColumn id="11" xr3:uid="{9BDA5109-8E7D-4FAE-90A0-C089C8AB4350}" name="2017"/>
    <tableColumn id="12" xr3:uid="{024C1534-CA4A-439A-8EE3-EE631F0B63AD}" name="STATE3"/>
    <tableColumn id="13" xr3:uid="{FD0D62BD-D3AB-4700-AF96-700FF0258160}" name="MILES4"/>
    <tableColumn id="14" xr3:uid="{ADD51CCC-2011-405D-84A5-AB66E10D88B9}" name="GALLONS5"/>
    <tableColumn id="15" xr3:uid="{65D8AE90-864C-48DD-A063-AB20FD90E12D}" name="MPG3"/>
    <tableColumn id="16" xr3:uid="{0DABC2E9-4583-4A96-A061-E9AFD14F2A28}" name="2019"/>
    <tableColumn id="17" xr3:uid="{879037C3-543D-4D90-9098-BF8146E76651}" name="STATE4"/>
    <tableColumn id="18" xr3:uid="{BA15814D-5E76-4285-B097-2614D8E1B0B1}" name="MILES5"/>
    <tableColumn id="19" xr3:uid="{3B9CC6F1-47D7-4111-B2F9-2F105940B7C2}" name="GALLONS6"/>
    <tableColumn id="20" xr3:uid="{B59C1AC4-D104-457A-A820-7DECCC33915A}" name="MPG4"/>
    <tableColumn id="21" xr3:uid="{7B2C5AF1-0B13-41EE-AEF7-A47F170F3637}" name="STATE5"/>
    <tableColumn id="22" xr3:uid="{754546A7-A45E-4E43-9A9A-4304D791D7D5}" name="MILES6" dataDxfId="23">
      <calculatedColumnFormula>SUM(C7,H7,M7,R7)</calculatedColumnFormula>
    </tableColumn>
    <tableColumn id="23" xr3:uid="{152511C8-43CA-4256-AF23-67F594EE0CB8}" name="Tax Paid Fuel (Gallons)" dataDxfId="22">
      <calculatedColumnFormula>SUM(D7,I7,N7,S7)</calculatedColumnFormula>
    </tableColumn>
    <tableColumn id="28" xr3:uid="{2C6AD0C3-BD25-46AA-838C-0D1E39661DA9}" name="Taxable Fuel (Gallons)" dataDxfId="21">
      <calculatedColumnFormula>SUM(Y43)</calculatedColumnFormula>
    </tableColumn>
    <tableColumn id="24" xr3:uid="{A765DEEC-5145-4013-8609-B71E6AFCABAA}" name="Net Taxable Fuel (Gallons)" dataDxfId="20"/>
    <tableColumn id="31" xr3:uid="{68410170-3665-40A7-93CA-4E6190F2F5CC}" name="Tax Rate" dataDxfId="19"/>
    <tableColumn id="25" xr3:uid="{6028AADA-BB47-4717-BB4A-7C1A9BFF2AD7}" name="Tax Due (Credit)" dataDxfId="18">
      <calculatedColumnFormula>SUM(Table735[[#This Row],[Net Taxable Fuel (Gallons)]]*Table735[[#This Row],[Tax Rate]])</calculatedColumnFormula>
    </tableColumn>
  </tableColumns>
  <tableStyleInfo name="TableStyleLight1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7942B92-852F-4982-9464-D33094DFA155}" name="Table7356" displayName="Table7356" ref="A6:AA50" totalsRowShown="0">
  <autoFilter ref="A6:AA50" xr:uid="{38EEE4E0-28FD-470D-BD0D-F01C84DE80EA}"/>
  <tableColumns count="27">
    <tableColumn id="1" xr3:uid="{807D862D-E33A-407B-A798-F3AC98210ABE}" name="2013"/>
    <tableColumn id="2" xr3:uid="{FFFE3A08-4421-41AC-8F64-7E1404556033}" name="STATE"/>
    <tableColumn id="3" xr3:uid="{1F15E428-607F-4EE9-85A3-11291A4263F8}" name="MILES"/>
    <tableColumn id="4" xr3:uid="{B13B3A47-5A45-4B51-B618-E0120D95D77D}" name="GALLONS"/>
    <tableColumn id="5" xr3:uid="{0063C182-0E54-4F0C-8E66-09F847223D48}" name="MPG"/>
    <tableColumn id="6" xr3:uid="{C684E9B9-EC07-437E-8275-8C076E5EE670}" name="2015"/>
    <tableColumn id="7" xr3:uid="{1626EA63-3211-4D25-989E-C13CFC618780}" name="STATE2"/>
    <tableColumn id="8" xr3:uid="{6F250021-EFC5-44BA-B842-F7E3B387FA8E}" name="MILES3"/>
    <tableColumn id="9" xr3:uid="{736BDCEC-74DA-4495-BD40-C872B1D04ABB}" name="GALLONS4"/>
    <tableColumn id="10" xr3:uid="{24746E84-D7E9-49FE-8D45-92412D51D82F}" name="MPG2"/>
    <tableColumn id="11" xr3:uid="{C00C89B1-CF39-4771-A1CD-B6D2FEE55744}" name="2017"/>
    <tableColumn id="12" xr3:uid="{6EAB1EB8-9516-4362-97AF-5C0AD6E8A975}" name="STATE3"/>
    <tableColumn id="13" xr3:uid="{D857C781-018F-4154-8B1A-750F0E7D89BA}" name="MILES4"/>
    <tableColumn id="14" xr3:uid="{2AD75553-1BA3-4E26-AA49-03290F2D25F9}" name="GALLONS5"/>
    <tableColumn id="15" xr3:uid="{FE48A0F6-C2DB-45E8-A408-8FA41F8211D6}" name="MPG3"/>
    <tableColumn id="16" xr3:uid="{88A41F52-5424-42C9-AB36-7BA33A371185}" name="2019"/>
    <tableColumn id="17" xr3:uid="{D26091C1-7122-425A-A006-E6B5A0715A68}" name="STATE4"/>
    <tableColumn id="18" xr3:uid="{F79A417F-370F-4954-A933-5623D9524A07}" name="MILES5"/>
    <tableColumn id="19" xr3:uid="{B7D81B71-63C2-4F3D-9A29-B7A39055D9E5}" name="GALLONS6"/>
    <tableColumn id="20" xr3:uid="{B1DF66B0-8A2C-41C4-9E33-924A95841A1A}" name="MPG4"/>
    <tableColumn id="21" xr3:uid="{F582B357-D362-425F-96DD-429191795FF1}" name="STATE5"/>
    <tableColumn id="22" xr3:uid="{F517439E-81E4-4006-B849-117677E37388}" name="MILES6" dataDxfId="17">
      <calculatedColumnFormula>SUM(C7,H7,M7,R7)</calculatedColumnFormula>
    </tableColumn>
    <tableColumn id="23" xr3:uid="{B6A3A332-D0C1-43E6-9881-515F91D52DAA}" name="Tax Paid Fuel (Gallons)" dataDxfId="16">
      <calculatedColumnFormula>SUM(D7,I7,N7,S7)</calculatedColumnFormula>
    </tableColumn>
    <tableColumn id="28" xr3:uid="{5F35C17E-1554-4AA4-A066-52243A29E5DE}" name="Taxable Fuel (Gallons)" dataDxfId="15">
      <calculatedColumnFormula>SUM(Y43)</calculatedColumnFormula>
    </tableColumn>
    <tableColumn id="24" xr3:uid="{EE6BA8FD-BC0A-4F84-BA4A-F10A41B64161}" name="Net Taxable Fuel (Gallons)" dataDxfId="14"/>
    <tableColumn id="31" xr3:uid="{4BA40048-2B0E-49D8-AFA2-1E2F02775900}" name="Tax Rate" dataDxfId="13"/>
    <tableColumn id="25" xr3:uid="{31AA46F2-461D-4855-979D-25CD8CD84675}" name="Tax Due (Credit)" dataDxfId="12">
      <calculatedColumnFormula>SUM(Table7356[[#This Row],[Net Taxable Fuel (Gallons)]]*Table7356[[#This Row],[Tax Rate]])</calculatedColumnFormula>
    </tableColumn>
  </tableColumns>
  <tableStyleInfo name="TableStyleLight16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D1C9230-CF6F-4B13-AC35-56E067F146E8}" name="Table73567" displayName="Table73567" ref="A6:N50" totalsRowShown="0">
  <autoFilter ref="A6:N50" xr:uid="{38EEE4E0-28FD-470D-BD0D-F01C84DE80EA}"/>
  <tableColumns count="14">
    <tableColumn id="1" xr3:uid="{521FD55A-EF7B-4143-8130-2D1E0BCA281C}" name="Q3 2024"/>
    <tableColumn id="2" xr3:uid="{5AF65CCC-6FF0-4473-BD2B-23531401B2D8}" name="STATE"/>
    <tableColumn id="3" xr3:uid="{A53D351C-F4A4-411F-8F80-30F88EAE7D7E}" name="MILES"/>
    <tableColumn id="6" xr3:uid="{1CA986D6-5168-4DA4-AD48-9C97CDB24A49}" name="Q4 2024"/>
    <tableColumn id="7" xr3:uid="{399560D6-CB31-4C58-A5A0-4C87C68EF3A7}" name="STATE2"/>
    <tableColumn id="8" xr3:uid="{15DE9BE6-0061-407B-908D-B53E2C9C85A5}" name="MILES3"/>
    <tableColumn id="11" xr3:uid="{45FCBFBF-C094-47AE-8955-614D8CAF0EB4}" name="Q1 2025"/>
    <tableColumn id="12" xr3:uid="{3FD19534-3B5C-43E0-90F9-1F74FD025E8F}" name="STATE3"/>
    <tableColumn id="13" xr3:uid="{E88F61A5-0814-46E1-A382-CC3EC8301A88}" name="MILES4"/>
    <tableColumn id="16" xr3:uid="{66240A48-0B6B-4765-91B0-6D5120890E08}" name="Q2 2025"/>
    <tableColumn id="17" xr3:uid="{2131E3E7-2AA5-4599-A25D-3B3C73F5E3BF}" name="STATE4"/>
    <tableColumn id="18" xr3:uid="{D4AEFE1D-375B-43E7-875E-EE01AA98495B}" name="MILES5"/>
    <tableColumn id="21" xr3:uid="{C0B84F5B-8A5F-45F2-A29F-E34E1E02995C}" name="STATE5"/>
    <tableColumn id="22" xr3:uid="{860D6373-AB9B-4C29-8D3A-5F397DEE1E9A}" name="MILES6" dataDxfId="11">
      <calculatedColumnFormula>SUM(C7,F7,I7,L7)</calculatedColumnFormula>
    </tableColumn>
  </tableColumns>
  <tableStyleInfo name="TableStyleLight16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FBFB080-D5D2-4948-BFCF-09CC03CAE046}" name="Table735679109" displayName="Table735679109" ref="A6:AP62" totalsRowShown="0">
  <autoFilter ref="A6:AP62" xr:uid="{38EEE4E0-28FD-470D-BD0D-F01C84DE80EA}"/>
  <tableColumns count="42">
    <tableColumn id="1" xr3:uid="{9ADAA253-9284-7744-8749-ADB73A673511}" name="2013"/>
    <tableColumn id="2" xr3:uid="{E056EBBC-3811-0842-B6C7-BDCFAAD16F2D}" name="STATE"/>
    <tableColumn id="3" xr3:uid="{49628E03-7927-0147-A40E-1809E8E83255}" name="MILES"/>
    <tableColumn id="4" xr3:uid="{1B2ABCD5-82F7-BE4E-AEE3-D53AFFC3B766}" name="GALLONS"/>
    <tableColumn id="5" xr3:uid="{5C51E7E4-0BD9-134F-ADBF-569A7DAFC665}" name="MPG"/>
    <tableColumn id="6" xr3:uid="{5C6C4291-2579-8B4E-AD5D-D4881BE5C5A5}" name="2015"/>
    <tableColumn id="7" xr3:uid="{43A5E651-2241-5946-A681-565845E77F1B}" name="STATE2"/>
    <tableColumn id="8" xr3:uid="{FE068FAA-7A1D-F245-8B8E-BD54F754FC84}" name="MILES3"/>
    <tableColumn id="9" xr3:uid="{974A2450-BC01-1B47-A487-173741A2FFB0}" name="GALLONS4"/>
    <tableColumn id="10" xr3:uid="{655754D2-6B77-384E-A1F1-B8D25A6FEBCF}" name="MPG2"/>
    <tableColumn id="11" xr3:uid="{3106235A-9AEF-004E-AEB1-D369DE9A35D3}" name="2017"/>
    <tableColumn id="12" xr3:uid="{9416FA34-EC2B-2C47-A448-6A520D5BE354}" name="STATE3"/>
    <tableColumn id="13" xr3:uid="{0765153D-1A7A-1C43-82EC-0CC785F6E161}" name="MILES4"/>
    <tableColumn id="14" xr3:uid="{38AC9148-F279-CE4C-B41F-9ED8037A3B44}" name="GALLONS5"/>
    <tableColumn id="15" xr3:uid="{B256F015-E4BC-9148-A04B-2C56D458F8BD}" name="MPG3"/>
    <tableColumn id="16" xr3:uid="{09EB350A-EBEB-C94E-9EBC-00D313193E1A}" name="2019"/>
    <tableColumn id="17" xr3:uid="{855F7413-82C4-CE40-AB37-F1A7CD72FC29}" name="STATE4"/>
    <tableColumn id="18" xr3:uid="{25DCC1CD-2398-1246-88BE-2FDDAC493B7A}" name="MILES5"/>
    <tableColumn id="19" xr3:uid="{24029ED6-B5A9-AC49-9D76-C82B90A9C76E}" name="GALLONS6"/>
    <tableColumn id="20" xr3:uid="{B0E9A5DB-B6FA-BC47-8312-B0ADF6EA414C}" name="MPG4"/>
    <tableColumn id="33" xr3:uid="{38A62C35-5E5C-F443-88B7-C033278D2D5F}" name="2016"/>
    <tableColumn id="32" xr3:uid="{D9087F5E-3E29-894E-B49F-37E6C91A4142}" name="STATE6"/>
    <tableColumn id="30" xr3:uid="{6AF82BE2-6349-6D40-A24B-465F8336C06C}" name="MILES2"/>
    <tableColumn id="29" xr3:uid="{2904DFA2-3F61-FB40-BCA2-90D365227A6E}" name="GALLONS2"/>
    <tableColumn id="26" xr3:uid="{B73BC137-EFA4-5648-8820-EBD360A6B7E3}" name="MPG5"/>
    <tableColumn id="40" xr3:uid="{B43546DA-B39D-024F-8864-64B56DECF4A6}" name="55"/>
    <tableColumn id="39" xr3:uid="{056193BF-59B8-CD42-8931-E824E174CC87}" name="STATE7"/>
    <tableColumn id="38" xr3:uid="{58920FA1-7CE7-464F-B98E-1C5C46DC80CF}" name="MILES7"/>
    <tableColumn id="37" xr3:uid="{04C42127-F297-2541-A157-3D2488A1DCDE}" name="GALLONS3"/>
    <tableColumn id="36" xr3:uid="{6917DC70-EF71-3E4E-9CC1-3233355DFD91}" name="MPG6"/>
    <tableColumn id="45" xr3:uid="{80190EA8-ACE1-FD41-AB37-927BABF85707}" name="07" dataDxfId="67"/>
    <tableColumn id="44" xr3:uid="{7CF6686F-AE43-2841-8203-5883D690AB1C}" name="STATE8"/>
    <tableColumn id="43" xr3:uid="{0E96667B-F4ED-AB42-840E-E8CE14C01EDD}" name="MILES8"/>
    <tableColumn id="42" xr3:uid="{3F470F3E-CF45-7047-A3B5-F50A748BD32B}" name="GALLONS7"/>
    <tableColumn id="41" xr3:uid="{0B84CE01-8E07-E546-BDA0-DD25D4536351}" name="MPG7"/>
    <tableColumn id="21" xr3:uid="{2BF751C0-5591-8D4B-9529-34ACEA5B2B5A}" name="STATE5"/>
    <tableColumn id="22" xr3:uid="{7AB0882C-4537-0343-8FF1-F58D417341C4}" name="MILES6" dataDxfId="2">
      <calculatedColumnFormula>SUM(C7,H7,M7,R7,W7,AB7,AG7)</calculatedColumnFormula>
    </tableColumn>
    <tableColumn id="23" xr3:uid="{1C670B9D-9048-A14E-B293-7A6631B5CB55}" name="Tax Paid Fuel (Gallons)" dataDxfId="3">
      <calculatedColumnFormula>SUM(D7,I7,N7,S7,X7,AC7,AH7)</calculatedColumnFormula>
    </tableColumn>
    <tableColumn id="28" xr3:uid="{7F31C208-8ECC-6B40-871A-F08516D8E52C}" name="Taxable Fuel (Gallons)" dataDxfId="66">
      <calculatedColumnFormula>SUM(AN54)</calculatedColumnFormula>
    </tableColumn>
    <tableColumn id="24" xr3:uid="{2FA7A505-97E8-6947-A0E1-E2ABECC0F4DD}" name="Net Taxable Fuel (Gallons)" dataDxfId="1"/>
    <tableColumn id="31" xr3:uid="{D8BB06DB-58F9-F548-83E2-64AB4F6D6721}" name="Tax Rate" dataDxfId="0"/>
    <tableColumn id="25" xr3:uid="{46FE0F43-B9E1-A947-A4AE-62FC72AC3894}" name="Tax Due (Credit)" dataCellStyle="Currency">
      <calculatedColumnFormula>SUM(Table735679109[[#This Row],[Net Taxable Fuel (Gallons)]]*Table735679109[[#This Row],[Tax Rate]])</calculatedColumnFormula>
    </tableColumn>
  </tableColumns>
  <tableStyleInfo name="TableStyleLight16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30CBDA9-9F6C-49CF-9369-E3BA29A52F1C}" name="Table73567910" displayName="Table73567910" ref="A6:AP49" totalsRowShown="0">
  <autoFilter ref="A6:AP49" xr:uid="{38EEE4E0-28FD-470D-BD0D-F01C84DE80EA}"/>
  <tableColumns count="42">
    <tableColumn id="1" xr3:uid="{3A31AD5E-8834-4CC0-91EE-421B3B3B8520}" name="2013"/>
    <tableColumn id="2" xr3:uid="{D19388B1-EE24-4CA5-A13C-D3D661E9B623}" name="STATE"/>
    <tableColumn id="3" xr3:uid="{874DE09C-B0FA-45E6-AF93-AC51C4A167DA}" name="MILES"/>
    <tableColumn id="4" xr3:uid="{4966DDF2-14AB-490D-B185-7007DB9A0F6B}" name="GALLONS"/>
    <tableColumn id="5" xr3:uid="{F091366A-25A8-48C4-ABA1-CD4BD6910E74}" name="MPG"/>
    <tableColumn id="6" xr3:uid="{1306D8CC-CB48-413E-8A0D-0EBE9E4C2D8D}" name="2015"/>
    <tableColumn id="7" xr3:uid="{CCC90461-2BDD-4423-BD62-C9C00343624C}" name="STATE2"/>
    <tableColumn id="8" xr3:uid="{3F004AC6-63F6-4C83-9B75-E803E786C0A1}" name="MILES3"/>
    <tableColumn id="9" xr3:uid="{4BEBFF45-8B0F-4308-AC46-60D21F3A11B8}" name="GALLONS4"/>
    <tableColumn id="10" xr3:uid="{296CB3A7-CF03-461A-8979-DBB8FE5C65B2}" name="MPG2"/>
    <tableColumn id="11" xr3:uid="{124C0F80-0D3A-4353-9F97-973C2181CA9C}" name="2017"/>
    <tableColumn id="12" xr3:uid="{1226CE16-674D-4AD6-B6B4-5339EA0AF43E}" name="STATE3"/>
    <tableColumn id="13" xr3:uid="{D5666B85-373C-4B55-8867-E39E88CAF4F9}" name="MILES4"/>
    <tableColumn id="14" xr3:uid="{380A7751-5285-4DAF-8168-16B932084537}" name="GALLONS5"/>
    <tableColumn id="15" xr3:uid="{984A22A9-854D-4209-A7DC-0F98A508351A}" name="MPG3"/>
    <tableColumn id="16" xr3:uid="{CA975BCD-99CF-4F51-A107-7F54181C3BC9}" name="2019"/>
    <tableColumn id="17" xr3:uid="{CB8486B8-75ED-4E62-A0D9-8084DD75601A}" name="STATE4"/>
    <tableColumn id="18" xr3:uid="{10C13C7B-3391-42AB-8073-E9922D4ABBCE}" name="MILES5"/>
    <tableColumn id="19" xr3:uid="{4066BA3E-2FC2-462F-9470-AFC55E86D386}" name="GALLONS6"/>
    <tableColumn id="20" xr3:uid="{C0A9387E-4A4B-44C6-BBFE-E96D149AF501}" name="MPG4"/>
    <tableColumn id="33" xr3:uid="{E906C865-F6FE-3B4D-8105-E8D539AAB2CC}" name="2016"/>
    <tableColumn id="32" xr3:uid="{BF4FB489-F1B3-F34D-9695-D9A3AA71DAB3}" name="STATE6"/>
    <tableColumn id="30" xr3:uid="{523E9179-C237-E94D-AB7C-2CFFCC7D57A6}" name="MILES2"/>
    <tableColumn id="29" xr3:uid="{AE33A965-8B3F-0646-984F-CFF58E629088}" name="GALLONS2"/>
    <tableColumn id="26" xr3:uid="{16424187-529E-E24D-9180-638983695DF7}" name="MPG5"/>
    <tableColumn id="40" xr3:uid="{BD5F211D-255A-CE4F-AB2E-1594561C033A}" name="55"/>
    <tableColumn id="39" xr3:uid="{C427EB10-2CC7-F44B-919E-3C6F152C3640}" name="STATE7"/>
    <tableColumn id="38" xr3:uid="{2E9571F3-9F84-2D4A-90EB-A2EE6A38EC62}" name="MILES7"/>
    <tableColumn id="37" xr3:uid="{75DB0D2A-1867-FD4D-9DA6-F8A45973A333}" name="GALLONS3"/>
    <tableColumn id="36" xr3:uid="{5208C36C-79AA-5D42-9D0F-2757692A9F3E}" name="MPG6"/>
    <tableColumn id="45" xr3:uid="{46BCA6CD-F198-7941-BE93-ECAB9FAA3CA5}" name="07" dataDxfId="10"/>
    <tableColumn id="44" xr3:uid="{9CC6C5D3-2F6F-9D45-92A3-5FF5F394704F}" name="STATE8"/>
    <tableColumn id="43" xr3:uid="{3312DF0A-1D9E-A543-9443-13B1A743584E}" name="MILES8"/>
    <tableColumn id="42" xr3:uid="{78645053-56A9-D146-B6C0-EE5F0065D3E5}" name="GALLONS7"/>
    <tableColumn id="41" xr3:uid="{26ADF0E1-9301-4048-B396-536552511770}" name="MPG7"/>
    <tableColumn id="21" xr3:uid="{CC143C66-8404-4FCA-B161-59B47AEC83E3}" name="STATE5"/>
    <tableColumn id="22" xr3:uid="{A38212C4-2080-4B92-ABF2-1E1C07E391DB}" name="MILES6" dataDxfId="9">
      <calculatedColumnFormula>SUM(C7,H7,M7,R7)</calculatedColumnFormula>
    </tableColumn>
    <tableColumn id="23" xr3:uid="{31AB6FD1-5DE7-432A-8039-4AE3E4BED005}" name="Tax Paid Fuel (Gallons)" dataDxfId="8">
      <calculatedColumnFormula>SUM(D7,I7,N7,S7)</calculatedColumnFormula>
    </tableColumn>
    <tableColumn id="28" xr3:uid="{E0CAD152-0646-4BFD-971D-432802C1FB9B}" name="Taxable Fuel (Gallons)" dataDxfId="7">
      <calculatedColumnFormula>SUM(AN42)</calculatedColumnFormula>
    </tableColumn>
    <tableColumn id="24" xr3:uid="{48FF57BF-8E1C-435F-A19B-2CF632EAF87D}" name="Net Taxable Fuel (Gallons)" dataDxfId="6"/>
    <tableColumn id="31" xr3:uid="{F2BA6D4F-E9A5-4BCB-AFBE-3A872C45962E}" name="Tax Rate" dataDxfId="5"/>
    <tableColumn id="25" xr3:uid="{C9850AEC-D361-4C46-9C74-33414E4E3D8B}" name="Tax Due (Credit)" dataDxfId="4">
      <calculatedColumnFormula>SUM(Table73567910[[#This Row],[Net Taxable Fuel (Gallons)]]*Table73567910[[#This Row],[Tax Rate]])</calculatedColumnFormula>
    </tableColumn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8" dT="2025-04-28T04:50:40.13" personId="{693FB19F-BF38-4CE0-87CF-3C2EF6182A39}" id="{78BB3204-F544-4A00-BCA3-14B7D42E7358}">
    <text xml:space="preserve">Yarki fuel card 138
</text>
  </threadedComment>
  <threadedComment ref="O9" dT="2025-04-28T04:51:27.19" personId="{693FB19F-BF38-4CE0-87CF-3C2EF6182A39}" id="{ED8CF464-1EED-4656-9719-1C1D2D6DE803}">
    <text xml:space="preserve">Yarik fuel card 277
</text>
  </threadedComment>
  <threadedComment ref="O10" dT="2025-04-28T04:22:03.19" personId="{693FB19F-BF38-4CE0-87CF-3C2EF6182A39}" id="{08FC768E-50AA-48C1-ADA2-7273C8B4DBA8}">
    <text>FUEL CARD MUD 137
yarik fuel card 232</text>
  </threadedComment>
  <threadedComment ref="O23" dT="2025-04-28T04:52:57.15" personId="{693FB19F-BF38-4CE0-87CF-3C2EF6182A39}" id="{89E821C3-452C-4AFA-A209-C2D5C953DB23}">
    <text xml:space="preserve">Yarik fuel card 59
</text>
  </threadedComment>
  <threadedComment ref="J30" dT="2025-04-28T04:17:50.82" personId="{693FB19F-BF38-4CE0-87CF-3C2EF6182A39}" id="{1B3778F0-3A20-4506-8C18-AD31989CBA47}">
    <text>TA FUEL CARD 7587.75</text>
  </threadedComment>
  <threadedComment ref="O32" dT="2025-04-28T04:53:34.43" personId="{693FB19F-BF38-4CE0-87CF-3C2EF6182A39}" id="{01365EB0-0D28-4632-83E6-7A67324A1B74}">
    <text xml:space="preserve">Yarik fuel card 240
</text>
  </threadedComment>
  <threadedComment ref="O33" dT="2025-04-28T04:54:20.69" personId="{693FB19F-BF38-4CE0-87CF-3C2EF6182A39}" id="{09BEE8E1-49CF-4F76-89A1-CFC9F9001CE2}">
    <text>Yarik fuel card 455</text>
  </threadedComment>
  <threadedComment ref="O36" dT="2025-04-28T04:54:55.62" personId="{693FB19F-BF38-4CE0-87CF-3C2EF6182A39}" id="{B1CB1F2D-99E9-41AD-8C2F-542D8F215D06}">
    <text>Yarki fuel card</text>
  </threadedComment>
  <threadedComment ref="O37" dT="2025-04-28T04:55:25.61" personId="{693FB19F-BF38-4CE0-87CF-3C2EF6182A39}" id="{FD137755-5F0D-46EC-B87E-8316BA588ADC}">
    <text xml:space="preserve">Yarki fuel card 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 /><Relationship Id="rId2" Type="http://schemas.openxmlformats.org/officeDocument/2006/relationships/vmlDrawing" Target="../drawings/vmlDrawing1.vml" /><Relationship Id="rId1" Type="http://schemas.openxmlformats.org/officeDocument/2006/relationships/printerSettings" Target="../printerSettings/printerSettings1.bin" /><Relationship Id="rId5" Type="http://schemas.microsoft.com/office/2017/10/relationships/threadedComment" Target="../threadedComments/threadedComment1.xml" /><Relationship Id="rId4" Type="http://schemas.openxmlformats.org/officeDocument/2006/relationships/comments" Target="../comments1.xml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 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 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 /><Relationship Id="rId1" Type="http://schemas.openxmlformats.org/officeDocument/2006/relationships/printerSettings" Target="../printerSettings/printerSettings2.bin" 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 /><Relationship Id="rId1" Type="http://schemas.openxmlformats.org/officeDocument/2006/relationships/printerSettings" Target="../printerSettings/printerSettings3.bin" 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 /><Relationship Id="rId1" Type="http://schemas.openxmlformats.org/officeDocument/2006/relationships/printerSettings" Target="../printerSettings/printerSettings4.bin" 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 /><Relationship Id="rId1" Type="http://schemas.openxmlformats.org/officeDocument/2006/relationships/printerSettings" Target="../printerSettings/printerSettings5.bin" 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 /><Relationship Id="rId1" Type="http://schemas.openxmlformats.org/officeDocument/2006/relationships/printerSettings" Target="../printerSettings/printerSettings6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28229-DCAE-4793-AADE-D59476E933E4}">
  <dimension ref="A1:AB92"/>
  <sheetViews>
    <sheetView topLeftCell="J5" zoomScaleNormal="100" workbookViewId="0">
      <selection activeCell="W55" sqref="W55"/>
    </sheetView>
  </sheetViews>
  <sheetFormatPr defaultColWidth="8.76171875" defaultRowHeight="12.75" x14ac:dyDescent="0.15"/>
  <cols>
    <col min="1" max="1" width="7.01171875" bestFit="1" customWidth="1"/>
    <col min="5" max="5" width="11.8671875" customWidth="1"/>
    <col min="8" max="8" width="9.9765625" customWidth="1"/>
    <col min="9" max="9" width="9.70703125" customWidth="1"/>
    <col min="10" max="10" width="12.80859375" customWidth="1"/>
    <col min="13" max="13" width="9.9765625" customWidth="1"/>
    <col min="14" max="14" width="9.70703125" customWidth="1"/>
    <col min="15" max="15" width="12.80859375" customWidth="1"/>
    <col min="18" max="18" width="9.9765625" customWidth="1"/>
    <col min="19" max="19" width="9.70703125" customWidth="1"/>
    <col min="20" max="20" width="12.80859375" customWidth="1"/>
    <col min="22" max="22" width="9.9765625" customWidth="1"/>
    <col min="23" max="23" width="9.70703125" customWidth="1"/>
    <col min="24" max="24" width="23.4609375" style="13" customWidth="1"/>
    <col min="25" max="25" width="21.84375" customWidth="1"/>
    <col min="26" max="26" width="29.9375" style="13" customWidth="1"/>
    <col min="27" max="27" width="15.1015625" customWidth="1"/>
    <col min="28" max="28" width="17.80078125" customWidth="1"/>
  </cols>
  <sheetData>
    <row r="1" spans="1:28" ht="12.75" customHeight="1" x14ac:dyDescent="0.15">
      <c r="B1" s="36" t="s">
        <v>60</v>
      </c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</row>
    <row r="2" spans="1:28" ht="43.5" customHeight="1" x14ac:dyDescent="0.15"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</row>
    <row r="3" spans="1:28" ht="43.5" customHeight="1" x14ac:dyDescent="0.15"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</row>
    <row r="4" spans="1:28" ht="43.5" customHeight="1" x14ac:dyDescent="0.15"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</row>
    <row r="5" spans="1:28" x14ac:dyDescent="0.15"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</row>
    <row r="6" spans="1:28" x14ac:dyDescent="0.15">
      <c r="B6" t="s">
        <v>31</v>
      </c>
      <c r="C6" t="s">
        <v>36</v>
      </c>
      <c r="D6" t="s">
        <v>37</v>
      </c>
      <c r="E6" t="s">
        <v>38</v>
      </c>
      <c r="F6" t="s">
        <v>39</v>
      </c>
      <c r="G6" t="s">
        <v>19</v>
      </c>
      <c r="H6" t="s">
        <v>40</v>
      </c>
      <c r="I6" t="s">
        <v>41</v>
      </c>
      <c r="J6" t="s">
        <v>42</v>
      </c>
      <c r="K6" t="s">
        <v>43</v>
      </c>
      <c r="L6" t="s">
        <v>10</v>
      </c>
      <c r="M6" t="s">
        <v>44</v>
      </c>
      <c r="N6" t="s">
        <v>45</v>
      </c>
      <c r="O6" t="s">
        <v>46</v>
      </c>
      <c r="P6" t="s">
        <v>47</v>
      </c>
      <c r="Q6" t="s">
        <v>0</v>
      </c>
      <c r="R6" t="s">
        <v>48</v>
      </c>
      <c r="S6" t="s">
        <v>49</v>
      </c>
      <c r="T6" t="s">
        <v>50</v>
      </c>
      <c r="U6" t="s">
        <v>51</v>
      </c>
      <c r="V6" t="s">
        <v>52</v>
      </c>
      <c r="W6" t="s">
        <v>53</v>
      </c>
      <c r="X6" s="13" t="s">
        <v>61</v>
      </c>
      <c r="Y6" t="s">
        <v>62</v>
      </c>
      <c r="Z6" s="13" t="s">
        <v>63</v>
      </c>
      <c r="AA6" t="s">
        <v>35</v>
      </c>
      <c r="AB6" t="s">
        <v>64</v>
      </c>
    </row>
    <row r="7" spans="1:28" ht="13.5" x14ac:dyDescent="0.15">
      <c r="A7" s="1"/>
      <c r="B7">
        <v>2013</v>
      </c>
      <c r="C7" t="s">
        <v>20</v>
      </c>
      <c r="G7">
        <v>2016</v>
      </c>
      <c r="H7" t="s">
        <v>20</v>
      </c>
      <c r="L7">
        <v>2017</v>
      </c>
      <c r="M7" t="s">
        <v>20</v>
      </c>
      <c r="N7">
        <v>534</v>
      </c>
      <c r="Q7">
        <v>2019</v>
      </c>
      <c r="R7" t="s">
        <v>20</v>
      </c>
      <c r="V7" t="s">
        <v>20</v>
      </c>
      <c r="W7">
        <f t="shared" ref="W7:W43" si="0">SUM(D7,I7,N7,S7)</f>
        <v>534</v>
      </c>
      <c r="X7" s="13">
        <f t="shared" ref="X7:X43" si="1">SUM(E7,J7,O7,T7)</f>
        <v>0</v>
      </c>
      <c r="Y7" s="15">
        <f>SUM(Table7[[#This Row],[MILES6]]/Z43)</f>
        <v>82.797177109251294</v>
      </c>
      <c r="Z7" s="17">
        <f>SUM(Table7[[#This Row],[Tax Paid Fuel (Gallons)]]-Table7[[#This Row],[Taxable Fuel (Gallons)]])</f>
        <v>-82.797177109251294</v>
      </c>
      <c r="AA7" s="11">
        <v>0.3</v>
      </c>
      <c r="AB7" s="16">
        <f>SUM(Table7[[#This Row],[Net Taxable Fuel (Gallons)]]*Table7[[#This Row],[Tax Rate]])</f>
        <v>-24.839153132775387</v>
      </c>
    </row>
    <row r="8" spans="1:28" ht="13.5" x14ac:dyDescent="0.15">
      <c r="A8" s="1"/>
      <c r="B8">
        <v>2013</v>
      </c>
      <c r="C8" t="s">
        <v>21</v>
      </c>
      <c r="D8">
        <v>40</v>
      </c>
      <c r="G8">
        <v>2016</v>
      </c>
      <c r="H8" t="s">
        <v>21</v>
      </c>
      <c r="L8">
        <v>2017</v>
      </c>
      <c r="M8" t="s">
        <v>21</v>
      </c>
      <c r="N8">
        <v>1136</v>
      </c>
      <c r="O8">
        <v>269</v>
      </c>
      <c r="Q8">
        <v>2019</v>
      </c>
      <c r="R8" t="s">
        <v>21</v>
      </c>
      <c r="V8" t="s">
        <v>21</v>
      </c>
      <c r="W8">
        <f t="shared" si="0"/>
        <v>1176</v>
      </c>
      <c r="X8" s="13">
        <f t="shared" si="1"/>
        <v>269</v>
      </c>
      <c r="Y8" s="15">
        <f>SUM(Table7[[#This Row],[MILES6]]/Z43)</f>
        <v>182.33985071250848</v>
      </c>
      <c r="Z8" s="19">
        <f>SUM(Table7[[#This Row],[Tax Paid Fuel (Gallons)]]-Table7[[#This Row],[Taxable Fuel (Gallons)]])</f>
        <v>86.660149287491521</v>
      </c>
      <c r="AA8" s="12">
        <v>0.28499999999999998</v>
      </c>
      <c r="AB8" s="14">
        <f>SUM(Table7[[#This Row],[Net Taxable Fuel (Gallons)]]*Table7[[#This Row],[Tax Rate]])</f>
        <v>24.698142546935081</v>
      </c>
    </row>
    <row r="9" spans="1:28" ht="13.5" x14ac:dyDescent="0.15">
      <c r="A9" s="1"/>
      <c r="B9">
        <v>2013</v>
      </c>
      <c r="C9" t="s">
        <v>1</v>
      </c>
      <c r="D9">
        <v>4967</v>
      </c>
      <c r="E9">
        <v>1269</v>
      </c>
      <c r="G9">
        <v>2016</v>
      </c>
      <c r="H9" t="s">
        <v>1</v>
      </c>
      <c r="I9">
        <v>5136</v>
      </c>
      <c r="J9">
        <v>1666</v>
      </c>
      <c r="L9">
        <v>2017</v>
      </c>
      <c r="M9" t="s">
        <v>1</v>
      </c>
      <c r="N9">
        <v>3362</v>
      </c>
      <c r="O9">
        <v>677</v>
      </c>
      <c r="Q9">
        <v>2019</v>
      </c>
      <c r="R9" t="s">
        <v>1</v>
      </c>
      <c r="S9">
        <v>31</v>
      </c>
      <c r="T9">
        <v>154</v>
      </c>
      <c r="V9" t="s">
        <v>1</v>
      </c>
      <c r="W9">
        <f t="shared" si="0"/>
        <v>13496</v>
      </c>
      <c r="X9" s="13">
        <f t="shared" si="1"/>
        <v>3766</v>
      </c>
      <c r="Y9" s="15">
        <f>SUM(Table7[[#This Row],[MILES6]]/Z43)</f>
        <v>2092.5668581768828</v>
      </c>
      <c r="Z9" s="19">
        <f>SUM(Table7[[#This Row],[Tax Paid Fuel (Gallons)]]-Table7[[#This Row],[Taxable Fuel (Gallons)]])</f>
        <v>1673.4331418231172</v>
      </c>
      <c r="AA9" s="12">
        <v>0.26</v>
      </c>
      <c r="AB9" s="14">
        <f>SUM(Table7[[#This Row],[Net Taxable Fuel (Gallons)]]*Table7[[#This Row],[Tax Rate]])</f>
        <v>435.0926168740105</v>
      </c>
    </row>
    <row r="10" spans="1:28" ht="13.5" x14ac:dyDescent="0.15">
      <c r="A10" s="1"/>
      <c r="B10">
        <v>2013</v>
      </c>
      <c r="C10" t="s">
        <v>2</v>
      </c>
      <c r="D10">
        <v>10886</v>
      </c>
      <c r="E10">
        <v>1005</v>
      </c>
      <c r="G10">
        <v>2016</v>
      </c>
      <c r="H10" t="s">
        <v>2</v>
      </c>
      <c r="I10">
        <v>13181</v>
      </c>
      <c r="J10">
        <v>693</v>
      </c>
      <c r="L10">
        <v>2017</v>
      </c>
      <c r="M10" t="s">
        <v>2</v>
      </c>
      <c r="N10">
        <v>6986</v>
      </c>
      <c r="O10">
        <v>684</v>
      </c>
      <c r="Q10">
        <v>2019</v>
      </c>
      <c r="R10" t="s">
        <v>2</v>
      </c>
      <c r="S10">
        <v>13592</v>
      </c>
      <c r="T10">
        <v>1603</v>
      </c>
      <c r="V10" t="s">
        <v>2</v>
      </c>
      <c r="W10">
        <f t="shared" si="0"/>
        <v>44645</v>
      </c>
      <c r="X10" s="13">
        <f t="shared" si="1"/>
        <v>3985</v>
      </c>
      <c r="Y10" s="15">
        <f>SUM(Table7[[#This Row],[MILES6]]/Z43)</f>
        <v>6922.2471386564121</v>
      </c>
      <c r="Z10" s="19">
        <f>SUM(Table7[[#This Row],[Tax Paid Fuel (Gallons)]]-Table7[[#This Row],[Taxable Fuel (Gallons)]])</f>
        <v>-2937.2471386564121</v>
      </c>
      <c r="AA10" s="12">
        <v>1.0229999999999999</v>
      </c>
      <c r="AB10" s="14">
        <f>SUM(Table7[[#This Row],[Net Taxable Fuel (Gallons)]]*Table7[[#This Row],[Tax Rate]])</f>
        <v>-3004.8038228455093</v>
      </c>
    </row>
    <row r="11" spans="1:28" ht="13.5" x14ac:dyDescent="0.15">
      <c r="A11" s="1"/>
      <c r="B11">
        <v>2013</v>
      </c>
      <c r="C11" t="s">
        <v>11</v>
      </c>
      <c r="G11">
        <v>2016</v>
      </c>
      <c r="H11" t="s">
        <v>11</v>
      </c>
      <c r="L11">
        <v>2017</v>
      </c>
      <c r="M11" t="s">
        <v>11</v>
      </c>
      <c r="N11">
        <v>69</v>
      </c>
      <c r="Q11">
        <v>2019</v>
      </c>
      <c r="R11" t="s">
        <v>11</v>
      </c>
      <c r="S11">
        <v>455</v>
      </c>
      <c r="T11">
        <v>115</v>
      </c>
      <c r="V11" t="s">
        <v>11</v>
      </c>
      <c r="W11">
        <f t="shared" si="0"/>
        <v>524</v>
      </c>
      <c r="X11" s="13">
        <f t="shared" si="1"/>
        <v>115</v>
      </c>
      <c r="Y11" s="15">
        <f>SUM(Table7[[#This Row],[MILES6]]/Z43)</f>
        <v>81.246668174621121</v>
      </c>
      <c r="Z11" s="19">
        <f>SUM(Table7[[#This Row],[Tax Paid Fuel (Gallons)]]-Table7[[#This Row],[Taxable Fuel (Gallons)]])</f>
        <v>33.753331825378879</v>
      </c>
      <c r="AA11" s="12">
        <v>0.28499999999999998</v>
      </c>
      <c r="AB11" s="14">
        <f>SUM(Table7[[#This Row],[Net Taxable Fuel (Gallons)]]*Table7[[#This Row],[Tax Rate]])</f>
        <v>9.6196995702329797</v>
      </c>
    </row>
    <row r="12" spans="1:28" ht="13.5" x14ac:dyDescent="0.15">
      <c r="A12" s="1"/>
      <c r="B12">
        <v>2013</v>
      </c>
      <c r="C12" s="7" t="s">
        <v>59</v>
      </c>
      <c r="G12">
        <v>2016</v>
      </c>
      <c r="H12" s="7" t="s">
        <v>59</v>
      </c>
      <c r="L12">
        <v>2017</v>
      </c>
      <c r="M12" s="7" t="s">
        <v>59</v>
      </c>
      <c r="N12">
        <v>435</v>
      </c>
      <c r="O12">
        <v>105</v>
      </c>
      <c r="Q12">
        <v>2019</v>
      </c>
      <c r="R12" s="7" t="s">
        <v>59</v>
      </c>
      <c r="V12" s="7" t="s">
        <v>59</v>
      </c>
      <c r="W12">
        <f>SUM(D12,I12,N12,S12)</f>
        <v>435</v>
      </c>
      <c r="X12" s="13">
        <f>SUM(E12,J12,O12,T12)</f>
        <v>105</v>
      </c>
      <c r="Y12" s="15">
        <f>SUM(Table7[[#This Row],[MILES6]]/Z43)</f>
        <v>67.447138656412577</v>
      </c>
      <c r="Z12" s="19">
        <f>SUM(Table7[[#This Row],[Tax Paid Fuel (Gallons)]]-Table7[[#This Row],[Taxable Fuel (Gallons)]])</f>
        <v>37.552861343587423</v>
      </c>
      <c r="AA12" s="12">
        <v>0.4027</v>
      </c>
      <c r="AB12" s="14">
        <f>SUM(Table7[[#This Row],[Net Taxable Fuel (Gallons)]]*Table7[[#This Row],[Tax Rate]])</f>
        <v>15.122537263062656</v>
      </c>
    </row>
    <row r="13" spans="1:28" ht="13.5" x14ac:dyDescent="0.15">
      <c r="A13" s="1"/>
      <c r="B13">
        <v>2013</v>
      </c>
      <c r="C13" t="s">
        <v>32</v>
      </c>
      <c r="G13">
        <v>2016</v>
      </c>
      <c r="H13" t="s">
        <v>32</v>
      </c>
      <c r="L13">
        <v>2017</v>
      </c>
      <c r="M13" t="s">
        <v>32</v>
      </c>
      <c r="N13">
        <v>751</v>
      </c>
      <c r="Q13">
        <v>2019</v>
      </c>
      <c r="R13" t="s">
        <v>32</v>
      </c>
      <c r="V13" t="s">
        <v>32</v>
      </c>
      <c r="W13">
        <f t="shared" si="0"/>
        <v>751</v>
      </c>
      <c r="X13" s="13">
        <f t="shared" si="1"/>
        <v>0</v>
      </c>
      <c r="Y13" s="15">
        <f>SUM(Table7[[#This Row],[MILES6]]/Z43)</f>
        <v>116.44322099072608</v>
      </c>
      <c r="Z13" s="19">
        <f>SUM(Table7[[#This Row],[Tax Paid Fuel (Gallons)]]-Table7[[#This Row],[Taxable Fuel (Gallons)]])</f>
        <v>-116.44322099072608</v>
      </c>
      <c r="AA13" s="12">
        <v>0.371</v>
      </c>
      <c r="AB13" s="14">
        <f>SUM(Table7[[#This Row],[Net Taxable Fuel (Gallons)]]*Table7[[#This Row],[Tax Rate]])</f>
        <v>-43.200434987559376</v>
      </c>
    </row>
    <row r="14" spans="1:28" ht="13.5" x14ac:dyDescent="0.15">
      <c r="A14" s="1"/>
      <c r="B14">
        <v>2013</v>
      </c>
      <c r="C14" t="s">
        <v>22</v>
      </c>
      <c r="D14">
        <v>13</v>
      </c>
      <c r="G14">
        <v>2016</v>
      </c>
      <c r="H14" t="s">
        <v>22</v>
      </c>
      <c r="L14">
        <v>2017</v>
      </c>
      <c r="M14" t="s">
        <v>22</v>
      </c>
      <c r="N14">
        <v>13</v>
      </c>
      <c r="Q14">
        <v>2019</v>
      </c>
      <c r="R14" t="s">
        <v>22</v>
      </c>
      <c r="S14">
        <v>621</v>
      </c>
      <c r="T14">
        <v>108</v>
      </c>
      <c r="V14" t="s">
        <v>22</v>
      </c>
      <c r="W14">
        <f t="shared" si="0"/>
        <v>647</v>
      </c>
      <c r="X14" s="13">
        <f t="shared" si="1"/>
        <v>108</v>
      </c>
      <c r="Y14" s="15">
        <f>SUM(Table7[[#This Row],[MILES6]]/Z43)</f>
        <v>100.31792807057226</v>
      </c>
      <c r="Z14" s="19">
        <f>SUM(Table7[[#This Row],[Tax Paid Fuel (Gallons)]]-Table7[[#This Row],[Taxable Fuel (Gallons)]])</f>
        <v>7.6820719294277353</v>
      </c>
      <c r="AA14" s="12">
        <v>0.32500000000000001</v>
      </c>
      <c r="AB14" s="14">
        <f>SUM(Table7[[#This Row],[Net Taxable Fuel (Gallons)]]*Table7[[#This Row],[Tax Rate]])</f>
        <v>2.4966733770640142</v>
      </c>
    </row>
    <row r="15" spans="1:28" ht="13.5" x14ac:dyDescent="0.15">
      <c r="A15" s="1"/>
      <c r="B15">
        <v>2013</v>
      </c>
      <c r="C15" t="s">
        <v>3</v>
      </c>
      <c r="D15">
        <v>646</v>
      </c>
      <c r="G15">
        <v>2016</v>
      </c>
      <c r="H15" t="s">
        <v>3</v>
      </c>
      <c r="L15">
        <v>2017</v>
      </c>
      <c r="M15" t="s">
        <v>3</v>
      </c>
      <c r="N15">
        <v>1282</v>
      </c>
      <c r="O15">
        <v>122</v>
      </c>
      <c r="Q15">
        <v>2019</v>
      </c>
      <c r="R15" t="s">
        <v>3</v>
      </c>
      <c r="S15">
        <v>958</v>
      </c>
      <c r="T15">
        <v>75</v>
      </c>
      <c r="V15" t="s">
        <v>3</v>
      </c>
      <c r="W15">
        <f t="shared" si="0"/>
        <v>2886</v>
      </c>
      <c r="X15" s="13">
        <f t="shared" si="1"/>
        <v>197</v>
      </c>
      <c r="Y15" s="15">
        <f>SUM(Table7[[#This Row],[MILES6]]/Z43)</f>
        <v>447.47687853426822</v>
      </c>
      <c r="Z15" s="19">
        <f>SUM(Table7[[#This Row],[Tax Paid Fuel (Gallons)]]-Y15)</f>
        <v>-250.47687853426822</v>
      </c>
      <c r="AA15" s="12">
        <v>0.32</v>
      </c>
      <c r="AB15" s="14">
        <f>SUM(Table7[[#This Row],[Net Taxable Fuel (Gallons)]]*Table7[[#This Row],[Tax Rate]])</f>
        <v>-80.152601130965834</v>
      </c>
    </row>
    <row r="16" spans="1:28" ht="13.5" x14ac:dyDescent="0.15">
      <c r="A16" s="1"/>
      <c r="B16">
        <v>2013</v>
      </c>
      <c r="C16" t="s">
        <v>23</v>
      </c>
      <c r="G16">
        <v>2016</v>
      </c>
      <c r="H16" t="s">
        <v>23</v>
      </c>
      <c r="L16">
        <v>2017</v>
      </c>
      <c r="M16" t="s">
        <v>23</v>
      </c>
      <c r="N16">
        <v>325</v>
      </c>
      <c r="Q16">
        <v>2019</v>
      </c>
      <c r="R16" t="s">
        <v>23</v>
      </c>
      <c r="S16">
        <v>250</v>
      </c>
      <c r="V16" t="s">
        <v>23</v>
      </c>
      <c r="W16">
        <f t="shared" si="0"/>
        <v>575</v>
      </c>
      <c r="X16" s="13">
        <f t="shared" si="1"/>
        <v>0</v>
      </c>
      <c r="Y16" s="15">
        <f>SUM(Table7[[#This Row],[MILES6]]/Z43)</f>
        <v>89.154263741235013</v>
      </c>
      <c r="Z16" s="19">
        <f>SUM(Table7[[#This Row],[Tax Paid Fuel (Gallons)]]-Table7[[#This Row],[Taxable Fuel (Gallons)]])</f>
        <v>-89.154263741235013</v>
      </c>
      <c r="AA16" s="12">
        <v>0.73599999999999999</v>
      </c>
      <c r="AB16" s="14">
        <f>SUM(Table7[[#This Row],[Net Taxable Fuel (Gallons)]]*Table7[[#This Row],[Tax Rate]])</f>
        <v>-65.617538113548974</v>
      </c>
    </row>
    <row r="17" spans="1:28" ht="13.5" x14ac:dyDescent="0.15">
      <c r="A17" s="1"/>
      <c r="B17">
        <v>2013</v>
      </c>
      <c r="C17" t="s">
        <v>24</v>
      </c>
      <c r="G17">
        <v>2016</v>
      </c>
      <c r="H17" t="s">
        <v>24</v>
      </c>
      <c r="L17">
        <v>2017</v>
      </c>
      <c r="M17" t="s">
        <v>24</v>
      </c>
      <c r="N17">
        <v>158</v>
      </c>
      <c r="Q17">
        <v>2019</v>
      </c>
      <c r="R17" t="s">
        <v>24</v>
      </c>
      <c r="V17" t="s">
        <v>24</v>
      </c>
      <c r="W17">
        <f t="shared" si="0"/>
        <v>158</v>
      </c>
      <c r="X17" s="13">
        <f t="shared" si="1"/>
        <v>0</v>
      </c>
      <c r="Y17" s="15">
        <f>SUM(Table7[[#This Row],[MILES6]]/Z43)</f>
        <v>24.49804116715675</v>
      </c>
      <c r="Z17" s="19">
        <f>SUM(Table7[[#This Row],[Tax Paid Fuel (Gallons)]]-Table7[[#This Row],[Taxable Fuel (Gallons)]])</f>
        <v>-24.49804116715675</v>
      </c>
      <c r="AA17" s="12">
        <v>0.59</v>
      </c>
      <c r="AB17" s="14">
        <f>SUM(Table7[[#This Row],[Net Taxable Fuel (Gallons)]]*Table7[[#This Row],[Tax Rate]])</f>
        <v>-14.453844288622481</v>
      </c>
    </row>
    <row r="18" spans="1:28" x14ac:dyDescent="0.15">
      <c r="B18">
        <v>2013</v>
      </c>
      <c r="C18" t="s">
        <v>25</v>
      </c>
      <c r="G18">
        <v>2016</v>
      </c>
      <c r="H18" t="s">
        <v>25</v>
      </c>
      <c r="L18">
        <v>2017</v>
      </c>
      <c r="M18" t="s">
        <v>25</v>
      </c>
      <c r="N18">
        <v>107</v>
      </c>
      <c r="Q18">
        <v>2019</v>
      </c>
      <c r="R18" t="s">
        <v>25</v>
      </c>
      <c r="V18" t="s">
        <v>25</v>
      </c>
      <c r="W18">
        <f t="shared" si="0"/>
        <v>107</v>
      </c>
      <c r="X18" s="13">
        <f t="shared" si="1"/>
        <v>0</v>
      </c>
      <c r="Y18" s="15">
        <f>SUM(Table7[[#This Row],[MILES6]]/Z43)</f>
        <v>16.590445600542864</v>
      </c>
      <c r="Z18" s="19">
        <f>SUM(Table7[[#This Row],[Tax Paid Fuel (Gallons)]]-Table7[[#This Row],[Taxable Fuel (Gallons)]])</f>
        <v>-16.590445600542864</v>
      </c>
      <c r="AA18" s="12">
        <v>0.26</v>
      </c>
      <c r="AB18" s="14">
        <f>SUM(Table7[[#This Row],[Net Taxable Fuel (Gallons)]]*Table7[[#This Row],[Tax Rate]])</f>
        <v>-4.3135158561411444</v>
      </c>
    </row>
    <row r="19" spans="1:28" ht="13.5" x14ac:dyDescent="0.15">
      <c r="A19" s="1"/>
      <c r="B19">
        <v>2013</v>
      </c>
      <c r="C19" t="s">
        <v>26</v>
      </c>
      <c r="G19">
        <v>2016</v>
      </c>
      <c r="H19" t="s">
        <v>26</v>
      </c>
      <c r="L19">
        <v>2017</v>
      </c>
      <c r="M19" t="s">
        <v>26</v>
      </c>
      <c r="N19">
        <v>308</v>
      </c>
      <c r="O19">
        <v>113</v>
      </c>
      <c r="Q19">
        <v>2019</v>
      </c>
      <c r="R19" t="s">
        <v>26</v>
      </c>
      <c r="V19" t="s">
        <v>26</v>
      </c>
      <c r="W19">
        <f t="shared" si="0"/>
        <v>308</v>
      </c>
      <c r="X19" s="13">
        <f t="shared" si="1"/>
        <v>113</v>
      </c>
      <c r="Y19" s="15">
        <f>SUM(Table7[[#This Row],[MILES6]]/Z43)</f>
        <v>47.755675186609359</v>
      </c>
      <c r="Z19" s="19">
        <f>SUM(Table7[[#This Row],[Tax Paid Fuel (Gallons)]]-Table7[[#This Row],[Taxable Fuel (Gallons)]])</f>
        <v>65.244324813390648</v>
      </c>
      <c r="AA19" s="12">
        <v>0.23400000000000001</v>
      </c>
      <c r="AB19" s="14">
        <f>SUM(Table7[[#This Row],[Net Taxable Fuel (Gallons)]]*Table7[[#This Row],[Tax Rate]])</f>
        <v>15.267172006333412</v>
      </c>
    </row>
    <row r="20" spans="1:28" ht="13.5" x14ac:dyDescent="0.15">
      <c r="A20" s="1"/>
      <c r="B20">
        <v>2013</v>
      </c>
      <c r="C20" t="s">
        <v>54</v>
      </c>
      <c r="G20">
        <v>2016</v>
      </c>
      <c r="H20" t="s">
        <v>54</v>
      </c>
      <c r="L20">
        <v>2017</v>
      </c>
      <c r="M20" t="s">
        <v>54</v>
      </c>
      <c r="Q20">
        <v>2019</v>
      </c>
      <c r="R20" t="s">
        <v>54</v>
      </c>
      <c r="V20" t="s">
        <v>54</v>
      </c>
      <c r="W20">
        <f t="shared" si="0"/>
        <v>0</v>
      </c>
      <c r="X20" s="13">
        <f t="shared" si="1"/>
        <v>0</v>
      </c>
      <c r="Y20" s="15">
        <f>SUM(Table7[[#This Row],[MILES6]]/Z43)</f>
        <v>0</v>
      </c>
      <c r="Z20" s="19">
        <f>SUM(Table7[[#This Row],[Tax Paid Fuel (Gallons)]]-Table7[[#This Row],[Taxable Fuel (Gallons)]])</f>
        <v>0</v>
      </c>
      <c r="AA20" s="12">
        <v>0.2</v>
      </c>
      <c r="AB20" s="14">
        <f>SUM(Table7[[#This Row],[Net Taxable Fuel (Gallons)]]*Table7[[#This Row],[Tax Rate]])</f>
        <v>0</v>
      </c>
    </row>
    <row r="21" spans="1:28" ht="13.5" x14ac:dyDescent="0.15">
      <c r="A21" s="1"/>
      <c r="B21">
        <v>2013</v>
      </c>
      <c r="C21" t="s">
        <v>55</v>
      </c>
      <c r="G21">
        <v>2016</v>
      </c>
      <c r="H21" t="s">
        <v>55</v>
      </c>
      <c r="L21">
        <v>2017</v>
      </c>
      <c r="M21" t="s">
        <v>55</v>
      </c>
      <c r="Q21">
        <v>2019</v>
      </c>
      <c r="R21" t="s">
        <v>55</v>
      </c>
      <c r="V21" t="s">
        <v>55</v>
      </c>
      <c r="W21">
        <f t="shared" si="0"/>
        <v>0</v>
      </c>
      <c r="X21" s="13">
        <f t="shared" si="1"/>
        <v>0</v>
      </c>
      <c r="Y21" s="15">
        <f>SUM(Table7[[#This Row],[MILES6]]/Z43)</f>
        <v>0</v>
      </c>
      <c r="Z21" s="19">
        <f>SUM(Table7[[#This Row],[Tax Paid Fuel (Gallons)]]-Table7[[#This Row],[Taxable Fuel (Gallons)]])</f>
        <v>0</v>
      </c>
      <c r="AA21" s="12">
        <v>0.318</v>
      </c>
      <c r="AB21" s="14">
        <f>SUM(Table7[[#This Row],[Net Taxable Fuel (Gallons)]]*Table7[[#This Row],[Tax Rate]])</f>
        <v>0</v>
      </c>
    </row>
    <row r="22" spans="1:28" ht="13.5" x14ac:dyDescent="0.15">
      <c r="A22" s="1"/>
      <c r="B22">
        <v>2013</v>
      </c>
      <c r="C22" s="7" t="s">
        <v>28</v>
      </c>
      <c r="G22">
        <v>2016</v>
      </c>
      <c r="H22" s="7" t="s">
        <v>28</v>
      </c>
      <c r="L22">
        <v>2017</v>
      </c>
      <c r="M22" s="7" t="s">
        <v>28</v>
      </c>
      <c r="N22">
        <v>241</v>
      </c>
      <c r="O22">
        <v>33</v>
      </c>
      <c r="Q22">
        <v>2019</v>
      </c>
      <c r="R22" s="7" t="s">
        <v>28</v>
      </c>
      <c r="V22" s="7" t="s">
        <v>28</v>
      </c>
      <c r="W22">
        <f>SUM(D22,I22,N22,S22)</f>
        <v>241</v>
      </c>
      <c r="X22" s="13">
        <f>SUM(E22,J22,O22,T22)</f>
        <v>33</v>
      </c>
      <c r="Y22" s="15">
        <f>SUM(Table7[[#This Row],[MILES6]]/Z43)</f>
        <v>37.367265324587194</v>
      </c>
      <c r="Z22" s="19">
        <f>SUM(Table7[[#This Row],[Tax Paid Fuel (Gallons)]]-Table7[[#This Row],[Taxable Fuel (Gallons)]])</f>
        <v>-4.3672653245871942</v>
      </c>
      <c r="AA22" s="12">
        <v>0.18</v>
      </c>
      <c r="AB22" s="14">
        <f>SUM(Table7[[#This Row],[Net Taxable Fuel (Gallons)]]*Table7[[#This Row],[Tax Rate]])</f>
        <v>-0.78610775842569491</v>
      </c>
    </row>
    <row r="23" spans="1:28" ht="13.5" x14ac:dyDescent="0.15">
      <c r="A23" s="1"/>
      <c r="B23">
        <v>2013</v>
      </c>
      <c r="C23" t="s">
        <v>27</v>
      </c>
      <c r="D23">
        <v>485</v>
      </c>
      <c r="G23">
        <v>2016</v>
      </c>
      <c r="H23" t="s">
        <v>27</v>
      </c>
      <c r="L23">
        <v>2017</v>
      </c>
      <c r="M23" t="s">
        <v>27</v>
      </c>
      <c r="N23">
        <v>672</v>
      </c>
      <c r="O23">
        <v>120</v>
      </c>
      <c r="Q23">
        <v>2019</v>
      </c>
      <c r="R23" t="s">
        <v>27</v>
      </c>
      <c r="V23" t="s">
        <v>27</v>
      </c>
      <c r="W23">
        <f t="shared" si="0"/>
        <v>1157</v>
      </c>
      <c r="X23" s="13">
        <f t="shared" si="1"/>
        <v>120</v>
      </c>
      <c r="Y23" s="15">
        <f>SUM(Table7[[#This Row],[MILES6]]/Z43)</f>
        <v>179.39388373671113</v>
      </c>
      <c r="Z23" s="19">
        <f>SUM(Table7[[#This Row],[Tax Paid Fuel (Gallons)]]-Y23)</f>
        <v>-59.393883736711132</v>
      </c>
      <c r="AA23" s="12">
        <v>0.27</v>
      </c>
      <c r="AB23" s="14">
        <f>SUM(Table7[[#This Row],[Net Taxable Fuel (Gallons)]]*Table7[[#This Row],[Tax Rate]])</f>
        <v>-16.036348608912007</v>
      </c>
    </row>
    <row r="24" spans="1:28" ht="13.5" x14ac:dyDescent="0.15">
      <c r="A24" s="1"/>
      <c r="B24">
        <v>2013</v>
      </c>
      <c r="C24" t="s">
        <v>4</v>
      </c>
      <c r="D24">
        <v>711</v>
      </c>
      <c r="E24">
        <v>149</v>
      </c>
      <c r="G24">
        <v>2016</v>
      </c>
      <c r="H24" t="s">
        <v>4</v>
      </c>
      <c r="L24">
        <v>2017</v>
      </c>
      <c r="M24" t="s">
        <v>4</v>
      </c>
      <c r="Q24">
        <v>2019</v>
      </c>
      <c r="R24" t="s">
        <v>4</v>
      </c>
      <c r="S24">
        <v>347</v>
      </c>
      <c r="T24">
        <v>133</v>
      </c>
      <c r="V24" t="s">
        <v>4</v>
      </c>
      <c r="W24">
        <f t="shared" si="0"/>
        <v>1058</v>
      </c>
      <c r="X24" s="13">
        <f t="shared" si="1"/>
        <v>282</v>
      </c>
      <c r="Y24" s="15">
        <f>SUM(Table7[[#This Row],[MILES6]]/Z43)</f>
        <v>164.04384528387243</v>
      </c>
      <c r="Z24" s="19">
        <f>SUM(Table7[[#This Row],[Tax Paid Fuel (Gallons)]]-Table7[[#This Row],[Taxable Fuel (Gallons)]])</f>
        <v>117.95615471612757</v>
      </c>
      <c r="AA24" s="12">
        <v>0.29749999999999999</v>
      </c>
      <c r="AB24" s="14">
        <f>SUM(Table7[[#This Row],[Net Taxable Fuel (Gallons)]]*Table7[[#This Row],[Tax Rate]])</f>
        <v>35.091956028047953</v>
      </c>
    </row>
    <row r="25" spans="1:28" ht="13.5" x14ac:dyDescent="0.15">
      <c r="A25" s="1"/>
      <c r="B25">
        <v>2013</v>
      </c>
      <c r="G25">
        <v>2016</v>
      </c>
      <c r="L25">
        <v>2017</v>
      </c>
      <c r="Q25">
        <v>2019</v>
      </c>
      <c r="W25">
        <f t="shared" si="0"/>
        <v>0</v>
      </c>
      <c r="X25" s="13">
        <f t="shared" si="1"/>
        <v>0</v>
      </c>
      <c r="Y25" s="15">
        <f>SUM(Table7[[#This Row],[MILES6]]/Z43)</f>
        <v>0</v>
      </c>
      <c r="Z25" s="19">
        <f>SUM(Table7[[#This Row],[Tax Paid Fuel (Gallons)]]-Table7[[#This Row],[Taxable Fuel (Gallons)]])</f>
        <v>0</v>
      </c>
      <c r="AA25" s="12"/>
      <c r="AB25" s="14">
        <f>SUM(Table7[[#This Row],[Net Taxable Fuel (Gallons)]]*Table7[[#This Row],[Tax Rate]])</f>
        <v>0</v>
      </c>
    </row>
    <row r="26" spans="1:28" ht="13.5" x14ac:dyDescent="0.15">
      <c r="A26" s="1"/>
      <c r="B26">
        <v>2013</v>
      </c>
      <c r="C26" t="s">
        <v>33</v>
      </c>
      <c r="G26">
        <v>2016</v>
      </c>
      <c r="H26" t="s">
        <v>33</v>
      </c>
      <c r="L26">
        <v>2017</v>
      </c>
      <c r="M26" t="s">
        <v>33</v>
      </c>
      <c r="N26">
        <v>71</v>
      </c>
      <c r="Q26">
        <v>2019</v>
      </c>
      <c r="R26" t="s">
        <v>33</v>
      </c>
      <c r="V26" t="s">
        <v>33</v>
      </c>
      <c r="W26">
        <f t="shared" si="0"/>
        <v>71</v>
      </c>
      <c r="X26" s="13">
        <f t="shared" si="1"/>
        <v>0</v>
      </c>
      <c r="Y26" s="15">
        <f>SUM(Table7[[#This Row],[MILES6]]/Z43)</f>
        <v>11.008613435874237</v>
      </c>
      <c r="Z26" s="19">
        <f>SUM(Table7[[#This Row],[Tax Paid Fuel (Gallons)]]-Y26)</f>
        <v>-11.008613435874237</v>
      </c>
      <c r="AA26" s="12">
        <v>0.40300000000000002</v>
      </c>
      <c r="AB26" s="14">
        <f>SUM(Table7[[#This Row],[Net Taxable Fuel (Gallons)]]*Table7[[#This Row],[Tax Rate]])</f>
        <v>-4.4364712146573178</v>
      </c>
    </row>
    <row r="27" spans="1:28" ht="13.5" x14ac:dyDescent="0.15">
      <c r="A27" s="1"/>
      <c r="B27">
        <v>2013</v>
      </c>
      <c r="C27" t="s">
        <v>13</v>
      </c>
      <c r="D27">
        <v>460</v>
      </c>
      <c r="E27">
        <v>214</v>
      </c>
      <c r="G27">
        <v>2016</v>
      </c>
      <c r="H27" t="s">
        <v>13</v>
      </c>
      <c r="I27">
        <v>660</v>
      </c>
      <c r="L27">
        <v>2017</v>
      </c>
      <c r="M27" t="s">
        <v>13</v>
      </c>
      <c r="N27">
        <v>453</v>
      </c>
      <c r="Q27">
        <v>2019</v>
      </c>
      <c r="R27" t="s">
        <v>13</v>
      </c>
      <c r="S27">
        <v>813</v>
      </c>
      <c r="V27" t="s">
        <v>13</v>
      </c>
      <c r="W27">
        <f t="shared" si="0"/>
        <v>2386</v>
      </c>
      <c r="X27" s="13">
        <f t="shared" si="1"/>
        <v>214</v>
      </c>
      <c r="Y27" s="15">
        <f>SUM(Table7[[#This Row],[MILES6]]/Z43)</f>
        <v>369.95143180275954</v>
      </c>
      <c r="Z27" s="19">
        <f>SUM(Table7[[#This Row],[Tax Paid Fuel (Gallons)]]-Table7[[#This Row],[Taxable Fuel (Gallons)]])</f>
        <v>-155.95143180275954</v>
      </c>
      <c r="AA27" s="12">
        <v>0.30399999999999999</v>
      </c>
      <c r="AB27" s="14">
        <f>SUM(Table7[[#This Row],[Net Taxable Fuel (Gallons)]]*Table7[[#This Row],[Tax Rate]])</f>
        <v>-47.409235268038898</v>
      </c>
    </row>
    <row r="28" spans="1:28" ht="13.5" x14ac:dyDescent="0.15">
      <c r="A28" s="1"/>
      <c r="B28">
        <v>2013</v>
      </c>
      <c r="C28" t="s">
        <v>14</v>
      </c>
      <c r="D28">
        <v>775</v>
      </c>
      <c r="E28">
        <v>100</v>
      </c>
      <c r="G28">
        <v>2016</v>
      </c>
      <c r="H28" t="s">
        <v>14</v>
      </c>
      <c r="I28">
        <v>319</v>
      </c>
      <c r="L28">
        <v>2017</v>
      </c>
      <c r="M28" t="s">
        <v>14</v>
      </c>
      <c r="N28">
        <v>1555</v>
      </c>
      <c r="O28">
        <v>365</v>
      </c>
      <c r="Q28">
        <v>2019</v>
      </c>
      <c r="R28" t="s">
        <v>14</v>
      </c>
      <c r="V28" t="s">
        <v>14</v>
      </c>
      <c r="W28">
        <f t="shared" si="0"/>
        <v>2649</v>
      </c>
      <c r="X28" s="13">
        <f t="shared" si="1"/>
        <v>465</v>
      </c>
      <c r="Y28" s="15">
        <f>SUM(Table7[[#This Row],[MILES6]]/Z43)</f>
        <v>410.72981678353312</v>
      </c>
      <c r="Z28" s="19">
        <f>SUM(Table7[[#This Row],[Tax Paid Fuel (Gallons)]]-Table7[[#This Row],[Taxable Fuel (Gallons)]])</f>
        <v>54.270183216466876</v>
      </c>
      <c r="AA28" s="12">
        <v>0.21</v>
      </c>
      <c r="AB28" s="14">
        <f>SUM(Table7[[#This Row],[Net Taxable Fuel (Gallons)]]*Table7[[#This Row],[Tax Rate]])</f>
        <v>11.396738475458044</v>
      </c>
    </row>
    <row r="29" spans="1:28" ht="13.5" x14ac:dyDescent="0.15">
      <c r="A29" s="1"/>
      <c r="B29">
        <v>2013</v>
      </c>
      <c r="C29" t="s">
        <v>12</v>
      </c>
      <c r="G29">
        <v>2016</v>
      </c>
      <c r="H29" t="s">
        <v>12</v>
      </c>
      <c r="L29">
        <v>2017</v>
      </c>
      <c r="M29" t="s">
        <v>12</v>
      </c>
      <c r="Q29">
        <v>2019</v>
      </c>
      <c r="R29" t="s">
        <v>12</v>
      </c>
      <c r="V29" t="s">
        <v>12</v>
      </c>
      <c r="W29">
        <f t="shared" si="0"/>
        <v>0</v>
      </c>
      <c r="X29" s="13">
        <f t="shared" si="1"/>
        <v>0</v>
      </c>
      <c r="Y29" s="15">
        <f>SUM(Table7[[#This Row],[MILES6]]/Z43)</f>
        <v>0</v>
      </c>
      <c r="Z29" s="19">
        <f>SUM(Table7[[#This Row],[Tax Paid Fuel (Gallons)]]-Table7[[#This Row],[Taxable Fuel (Gallons)]])</f>
        <v>0</v>
      </c>
      <c r="AA29" s="12">
        <v>0.23</v>
      </c>
      <c r="AB29" s="14">
        <f>SUM(Table7[[#This Row],[Net Taxable Fuel (Gallons)]]*Table7[[#This Row],[Tax Rate]])</f>
        <v>0</v>
      </c>
    </row>
    <row r="30" spans="1:28" ht="13.5" x14ac:dyDescent="0.15">
      <c r="A30" s="1"/>
      <c r="B30">
        <v>2013</v>
      </c>
      <c r="C30" t="s">
        <v>5</v>
      </c>
      <c r="D30">
        <v>3879</v>
      </c>
      <c r="E30">
        <v>884</v>
      </c>
      <c r="G30">
        <v>2016</v>
      </c>
      <c r="H30" t="s">
        <v>5</v>
      </c>
      <c r="I30">
        <v>6142</v>
      </c>
      <c r="J30">
        <v>1443</v>
      </c>
      <c r="L30">
        <v>2017</v>
      </c>
      <c r="M30" t="s">
        <v>5</v>
      </c>
      <c r="N30">
        <v>3456</v>
      </c>
      <c r="O30">
        <v>439</v>
      </c>
      <c r="Q30">
        <v>2019</v>
      </c>
      <c r="R30" t="s">
        <v>5</v>
      </c>
      <c r="S30">
        <v>2114</v>
      </c>
      <c r="T30">
        <v>903</v>
      </c>
      <c r="V30" t="s">
        <v>5</v>
      </c>
      <c r="W30">
        <f t="shared" si="0"/>
        <v>15591</v>
      </c>
      <c r="X30" s="13">
        <f t="shared" si="1"/>
        <v>3669</v>
      </c>
      <c r="Y30" s="15">
        <f>SUM(Table7[[#This Row],[MILES6]]/Z43)</f>
        <v>2417.3984799819045</v>
      </c>
      <c r="Z30" s="19">
        <f>SUM(Table7[[#This Row],[Tax Paid Fuel (Gallons)]]-Table7[[#This Row],[Taxable Fuel (Gallons)]])</f>
        <v>1251.6015200180955</v>
      </c>
      <c r="AA30" s="12">
        <v>0.27</v>
      </c>
      <c r="AB30" s="14">
        <f>SUM(Table7[[#This Row],[Net Taxable Fuel (Gallons)]]*Table7[[#This Row],[Tax Rate]])</f>
        <v>337.93241040488579</v>
      </c>
    </row>
    <row r="31" spans="1:28" ht="13.5" x14ac:dyDescent="0.15">
      <c r="A31" s="1"/>
      <c r="B31">
        <v>2013</v>
      </c>
      <c r="C31" t="s">
        <v>29</v>
      </c>
      <c r="G31">
        <v>2016</v>
      </c>
      <c r="H31" t="s">
        <v>29</v>
      </c>
      <c r="L31">
        <v>2017</v>
      </c>
      <c r="M31" t="s">
        <v>29</v>
      </c>
      <c r="N31">
        <v>317</v>
      </c>
      <c r="Q31">
        <v>2019</v>
      </c>
      <c r="R31" t="s">
        <v>29</v>
      </c>
      <c r="V31" t="s">
        <v>29</v>
      </c>
      <c r="W31">
        <f t="shared" si="0"/>
        <v>317</v>
      </c>
      <c r="X31" s="13">
        <f t="shared" si="1"/>
        <v>0</v>
      </c>
      <c r="Y31" s="15">
        <f>SUM(Table7[[#This Row],[MILES6]]/Z43)</f>
        <v>49.151133227776519</v>
      </c>
      <c r="Z31" s="19">
        <f>SUM(Table7[[#This Row],[Tax Paid Fuel (Gallons)]]-Table7[[#This Row],[Taxable Fuel (Gallons)]])</f>
        <v>-49.151133227776519</v>
      </c>
      <c r="AA31" s="12">
        <v>0.47</v>
      </c>
      <c r="AB31" s="14">
        <f>SUM(Table7[[#This Row],[Net Taxable Fuel (Gallons)]]*Table7[[#This Row],[Tax Rate]])</f>
        <v>-23.101032617054962</v>
      </c>
    </row>
    <row r="32" spans="1:28" ht="13.5" x14ac:dyDescent="0.15">
      <c r="A32" s="1"/>
      <c r="B32">
        <v>2013</v>
      </c>
      <c r="C32" t="s">
        <v>15</v>
      </c>
      <c r="D32">
        <v>358</v>
      </c>
      <c r="E32">
        <v>150</v>
      </c>
      <c r="G32">
        <v>2016</v>
      </c>
      <c r="H32" t="s">
        <v>15</v>
      </c>
      <c r="L32">
        <v>2017</v>
      </c>
      <c r="M32" t="s">
        <v>15</v>
      </c>
      <c r="N32">
        <v>1261</v>
      </c>
      <c r="O32">
        <v>382</v>
      </c>
      <c r="Q32">
        <v>2019</v>
      </c>
      <c r="R32" t="s">
        <v>15</v>
      </c>
      <c r="V32" t="s">
        <v>15</v>
      </c>
      <c r="W32">
        <f t="shared" si="0"/>
        <v>1619</v>
      </c>
      <c r="X32" s="13">
        <f t="shared" si="1"/>
        <v>532</v>
      </c>
      <c r="Y32" s="15">
        <f>SUM(Table7[[#This Row],[MILES6]]/Z43)</f>
        <v>251.0273965166252</v>
      </c>
      <c r="Z32" s="19">
        <f>SUM(Table7[[#This Row],[Tax Paid Fuel (Gallons)]]-Table7[[#This Row],[Taxable Fuel (Gallons)]])</f>
        <v>280.97260348337477</v>
      </c>
      <c r="AA32" s="12">
        <v>0.19</v>
      </c>
      <c r="AB32" s="14">
        <f>SUM(Table7[[#This Row],[Net Taxable Fuel (Gallons)]]*Table7[[#This Row],[Tax Rate]])</f>
        <v>53.384794661841205</v>
      </c>
    </row>
    <row r="33" spans="1:28" ht="13.5" x14ac:dyDescent="0.15">
      <c r="A33" s="1"/>
      <c r="B33">
        <v>2013</v>
      </c>
      <c r="C33" t="s">
        <v>6</v>
      </c>
      <c r="D33">
        <v>1497</v>
      </c>
      <c r="E33">
        <v>154</v>
      </c>
      <c r="G33">
        <v>2016</v>
      </c>
      <c r="H33" t="s">
        <v>6</v>
      </c>
      <c r="I33">
        <v>1857</v>
      </c>
      <c r="L33">
        <v>2017</v>
      </c>
      <c r="M33" t="s">
        <v>6</v>
      </c>
      <c r="N33">
        <v>2621</v>
      </c>
      <c r="O33">
        <v>750</v>
      </c>
      <c r="Q33">
        <v>2019</v>
      </c>
      <c r="R33" t="s">
        <v>6</v>
      </c>
      <c r="S33">
        <v>2040</v>
      </c>
      <c r="T33">
        <v>385</v>
      </c>
      <c r="V33" t="s">
        <v>6</v>
      </c>
      <c r="W33">
        <f t="shared" si="0"/>
        <v>8015</v>
      </c>
      <c r="X33" s="13">
        <f t="shared" si="1"/>
        <v>1289</v>
      </c>
      <c r="Y33" s="15">
        <f>SUM(Table7[[#This Row],[MILES6]]/Z43)</f>
        <v>1242.7329111060847</v>
      </c>
      <c r="Z33" s="19">
        <f>SUM(Table7[[#This Row],[Tax Paid Fuel (Gallons)]]-Table7[[#This Row],[Taxable Fuel (Gallons)]])</f>
        <v>46.267088893915343</v>
      </c>
      <c r="AA33" s="12">
        <v>0</v>
      </c>
      <c r="AB33" s="14">
        <f>SUM(Table7[[#This Row],[Net Taxable Fuel (Gallons)]]*Table7[[#This Row],[Tax Rate]])</f>
        <v>0</v>
      </c>
    </row>
    <row r="34" spans="1:28" ht="13.5" x14ac:dyDescent="0.15">
      <c r="A34" s="1"/>
      <c r="B34">
        <v>2013</v>
      </c>
      <c r="C34" t="s">
        <v>34</v>
      </c>
      <c r="G34">
        <v>2016</v>
      </c>
      <c r="H34" t="s">
        <v>34</v>
      </c>
      <c r="L34">
        <v>2017</v>
      </c>
      <c r="M34" t="s">
        <v>34</v>
      </c>
      <c r="N34">
        <v>266</v>
      </c>
      <c r="O34">
        <v>114</v>
      </c>
      <c r="Q34">
        <v>2019</v>
      </c>
      <c r="R34" t="s">
        <v>34</v>
      </c>
      <c r="V34" t="s">
        <v>34</v>
      </c>
      <c r="W34">
        <f t="shared" si="0"/>
        <v>266</v>
      </c>
      <c r="X34" s="13">
        <f t="shared" si="1"/>
        <v>114</v>
      </c>
      <c r="Y34" s="15">
        <f>SUM(Table7[[#This Row],[MILES6]]/Z43)</f>
        <v>41.243537661162634</v>
      </c>
      <c r="Z34" s="19">
        <f>SUM(Table7[[#This Row],[Tax Paid Fuel (Gallons)]]-Table7[[#This Row],[Taxable Fuel (Gallons)]])</f>
        <v>72.756462338837366</v>
      </c>
      <c r="AA34" s="12">
        <v>0.28000000000000003</v>
      </c>
      <c r="AB34" s="14">
        <f>SUM(Table7[[#This Row],[Net Taxable Fuel (Gallons)]]*Table7[[#This Row],[Tax Rate]])</f>
        <v>20.371809454874466</v>
      </c>
    </row>
    <row r="35" spans="1:28" ht="13.5" x14ac:dyDescent="0.15">
      <c r="A35" s="1"/>
      <c r="B35">
        <v>2013</v>
      </c>
      <c r="C35" t="s">
        <v>16</v>
      </c>
      <c r="G35">
        <v>2016</v>
      </c>
      <c r="H35" t="s">
        <v>16</v>
      </c>
      <c r="L35">
        <v>2017</v>
      </c>
      <c r="M35" t="s">
        <v>16</v>
      </c>
      <c r="Q35">
        <v>2019</v>
      </c>
      <c r="R35" t="s">
        <v>16</v>
      </c>
      <c r="V35" t="s">
        <v>16</v>
      </c>
      <c r="W35">
        <f t="shared" si="0"/>
        <v>0</v>
      </c>
      <c r="X35" s="13">
        <f t="shared" si="1"/>
        <v>0</v>
      </c>
      <c r="Y35" s="15">
        <f>SUM(Table7[[#This Row],[MILES6]]/Z43)</f>
        <v>0</v>
      </c>
      <c r="Z35" s="19">
        <f>SUM(Table7[[#This Row],[Tax Paid Fuel (Gallons)]]-Table7[[#This Row],[Taxable Fuel (Gallons)]])</f>
        <v>0</v>
      </c>
      <c r="AA35" s="12">
        <v>0.28000000000000003</v>
      </c>
      <c r="AB35" s="14">
        <f>SUM(Table7[[#This Row],[Net Taxable Fuel (Gallons)]]*Table7[[#This Row],[Tax Rate]])</f>
        <v>0</v>
      </c>
    </row>
    <row r="36" spans="1:28" ht="13.5" x14ac:dyDescent="0.15">
      <c r="A36" s="1"/>
      <c r="B36">
        <v>2013</v>
      </c>
      <c r="C36" t="s">
        <v>30</v>
      </c>
      <c r="G36">
        <v>2016</v>
      </c>
      <c r="H36" t="s">
        <v>30</v>
      </c>
      <c r="L36">
        <v>2017</v>
      </c>
      <c r="M36" t="s">
        <v>30</v>
      </c>
      <c r="N36">
        <v>469</v>
      </c>
      <c r="O36">
        <v>122</v>
      </c>
      <c r="Q36">
        <v>2019</v>
      </c>
      <c r="R36" t="s">
        <v>30</v>
      </c>
      <c r="V36" t="s">
        <v>30</v>
      </c>
      <c r="W36">
        <f t="shared" si="0"/>
        <v>469</v>
      </c>
      <c r="X36" s="13">
        <f t="shared" si="1"/>
        <v>122</v>
      </c>
      <c r="Y36" s="15">
        <f>SUM(Table7[[#This Row],[MILES6]]/Z43)</f>
        <v>72.718869034155162</v>
      </c>
      <c r="Z36" s="19">
        <f>SUM(Table7[[#This Row],[Tax Paid Fuel (Gallons)]]-Table7[[#This Row],[Taxable Fuel (Gallons)]])</f>
        <v>49.281130965844838</v>
      </c>
      <c r="AA36" s="12">
        <v>0.27</v>
      </c>
      <c r="AB36" s="14">
        <f>SUM(Table7[[#This Row],[Net Taxable Fuel (Gallons)]]*Table7[[#This Row],[Tax Rate]])</f>
        <v>13.305905360778107</v>
      </c>
    </row>
    <row r="37" spans="1:28" ht="13.5" x14ac:dyDescent="0.15">
      <c r="A37" s="1"/>
      <c r="B37">
        <v>2013</v>
      </c>
      <c r="C37" t="s">
        <v>17</v>
      </c>
      <c r="D37">
        <v>1675</v>
      </c>
      <c r="E37">
        <v>422</v>
      </c>
      <c r="G37">
        <v>2016</v>
      </c>
      <c r="H37" t="s">
        <v>17</v>
      </c>
      <c r="L37">
        <v>2017</v>
      </c>
      <c r="M37" t="s">
        <v>17</v>
      </c>
      <c r="N37">
        <v>1657</v>
      </c>
      <c r="O37">
        <v>224</v>
      </c>
      <c r="Q37">
        <v>2019</v>
      </c>
      <c r="R37" t="s">
        <v>17</v>
      </c>
      <c r="V37" t="s">
        <v>17</v>
      </c>
      <c r="W37">
        <f t="shared" si="0"/>
        <v>3332</v>
      </c>
      <c r="X37" s="13">
        <f t="shared" si="1"/>
        <v>646</v>
      </c>
      <c r="Y37" s="15">
        <f>SUM(Table7[[#This Row],[MILES6]]/Z43)</f>
        <v>516.62957701877406</v>
      </c>
      <c r="Z37" s="19">
        <f>SUM(Table7[[#This Row],[Tax Paid Fuel (Gallons)]]-Table7[[#This Row],[Taxable Fuel (Gallons)]])</f>
        <v>129.37042298122594</v>
      </c>
      <c r="AA37" s="12">
        <v>0.2</v>
      </c>
      <c r="AB37" s="14">
        <f>SUM(Table7[[#This Row],[Net Taxable Fuel (Gallons)]]*Table7[[#This Row],[Tax Rate]])</f>
        <v>25.87408459624519</v>
      </c>
    </row>
    <row r="38" spans="1:28" x14ac:dyDescent="0.15">
      <c r="B38">
        <v>2013</v>
      </c>
      <c r="C38" t="s">
        <v>7</v>
      </c>
      <c r="D38">
        <v>625</v>
      </c>
      <c r="G38">
        <v>2016</v>
      </c>
      <c r="H38" t="s">
        <v>7</v>
      </c>
      <c r="I38">
        <v>395</v>
      </c>
      <c r="L38">
        <v>2017</v>
      </c>
      <c r="M38" t="s">
        <v>7</v>
      </c>
      <c r="N38">
        <v>1080</v>
      </c>
      <c r="O38">
        <v>169</v>
      </c>
      <c r="Q38">
        <v>2019</v>
      </c>
      <c r="R38" t="s">
        <v>7</v>
      </c>
      <c r="S38">
        <v>798</v>
      </c>
      <c r="V38" t="s">
        <v>7</v>
      </c>
      <c r="W38">
        <f>SUM(D38,I38,N38,S38)</f>
        <v>2898</v>
      </c>
      <c r="X38" s="13">
        <f t="shared" si="1"/>
        <v>169</v>
      </c>
      <c r="Y38" s="15">
        <f>SUM(Table7[[#This Row],[MILES6]]/Z43)</f>
        <v>449.33748925582444</v>
      </c>
      <c r="Z38" s="19">
        <f>SUM(Table7[[#This Row],[Tax Paid Fuel (Gallons)]]-Table7[[#This Row],[Taxable Fuel (Gallons)]])</f>
        <v>-280.33748925582444</v>
      </c>
      <c r="AA38" s="12">
        <v>0.38500000000000001</v>
      </c>
      <c r="AB38" s="14">
        <f>SUM(Table7[[#This Row],[Net Taxable Fuel (Gallons)]]*Table7[[#This Row],[Tax Rate]])</f>
        <v>-107.92993336349241</v>
      </c>
    </row>
    <row r="39" spans="1:28" ht="13.5" x14ac:dyDescent="0.15">
      <c r="A39" s="1"/>
      <c r="B39">
        <v>2013</v>
      </c>
      <c r="C39" t="s">
        <v>56</v>
      </c>
      <c r="G39">
        <v>2016</v>
      </c>
      <c r="H39" t="s">
        <v>56</v>
      </c>
      <c r="L39">
        <v>2017</v>
      </c>
      <c r="M39" t="s">
        <v>56</v>
      </c>
      <c r="Q39">
        <v>2019</v>
      </c>
      <c r="R39" t="s">
        <v>56</v>
      </c>
      <c r="V39" t="s">
        <v>56</v>
      </c>
      <c r="W39">
        <f t="shared" si="0"/>
        <v>0</v>
      </c>
      <c r="X39" s="13">
        <f t="shared" si="1"/>
        <v>0</v>
      </c>
      <c r="Y39" s="15">
        <f>SUM(Table7[[#This Row],[MILES6]]/Z43)</f>
        <v>0</v>
      </c>
      <c r="Z39" s="19">
        <f>SUM(Table7[[#This Row],[Tax Paid Fuel (Gallons)]]-Table7[[#This Row],[Taxable Fuel (Gallons)]])</f>
        <v>0</v>
      </c>
      <c r="AA39" s="12">
        <v>0.318</v>
      </c>
      <c r="AB39" s="14">
        <f>SUM(Table7[[#This Row],[Net Taxable Fuel (Gallons)]]*Table7[[#This Row],[Tax Rate]])</f>
        <v>0</v>
      </c>
    </row>
    <row r="40" spans="1:28" ht="13.5" x14ac:dyDescent="0.15">
      <c r="A40" s="1"/>
      <c r="B40">
        <v>2013</v>
      </c>
      <c r="C40" t="s">
        <v>8</v>
      </c>
      <c r="D40">
        <v>31</v>
      </c>
      <c r="G40">
        <v>2016</v>
      </c>
      <c r="H40" t="s">
        <v>8</v>
      </c>
      <c r="I40">
        <v>304</v>
      </c>
      <c r="L40">
        <v>2017</v>
      </c>
      <c r="M40" t="s">
        <v>8</v>
      </c>
      <c r="N40">
        <v>1282</v>
      </c>
      <c r="Q40">
        <v>2019</v>
      </c>
      <c r="R40" t="s">
        <v>8</v>
      </c>
      <c r="S40">
        <v>368</v>
      </c>
      <c r="V40" t="s">
        <v>8</v>
      </c>
      <c r="W40">
        <f t="shared" si="0"/>
        <v>1985</v>
      </c>
      <c r="X40" s="13">
        <f t="shared" si="1"/>
        <v>0</v>
      </c>
      <c r="Y40" s="15">
        <f>SUM(Table7[[#This Row],[MILES6]]/Z43)</f>
        <v>307.77602352408957</v>
      </c>
      <c r="Z40" s="19">
        <f>SUM(Table7[[#This Row],[Tax Paid Fuel (Gallons)]]-Table7[[#This Row],[Taxable Fuel (Gallons)]])</f>
        <v>-307.77602352408957</v>
      </c>
      <c r="AA40" s="12">
        <v>0.495</v>
      </c>
      <c r="AB40" s="14">
        <f>SUM(Table7[[#This Row],[Net Taxable Fuel (Gallons)]]*Table7[[#This Row],[Tax Rate]])</f>
        <v>-152.34913164442435</v>
      </c>
    </row>
    <row r="41" spans="1:28" ht="13.5" x14ac:dyDescent="0.15">
      <c r="A41" s="1"/>
      <c r="B41">
        <v>2013</v>
      </c>
      <c r="C41" t="s">
        <v>18</v>
      </c>
      <c r="D41">
        <v>405</v>
      </c>
      <c r="E41">
        <v>111</v>
      </c>
      <c r="G41">
        <v>2016</v>
      </c>
      <c r="H41" t="s">
        <v>18</v>
      </c>
      <c r="I41">
        <v>806</v>
      </c>
      <c r="J41">
        <v>305</v>
      </c>
      <c r="L41">
        <v>2017</v>
      </c>
      <c r="M41" t="s">
        <v>18</v>
      </c>
      <c r="N41">
        <v>460</v>
      </c>
      <c r="O41">
        <v>120</v>
      </c>
      <c r="Q41">
        <v>2019</v>
      </c>
      <c r="R41" t="s">
        <v>18</v>
      </c>
      <c r="S41">
        <v>387</v>
      </c>
      <c r="T41">
        <v>217</v>
      </c>
      <c r="V41" t="s">
        <v>18</v>
      </c>
      <c r="W41">
        <f t="shared" si="0"/>
        <v>2058</v>
      </c>
      <c r="X41" s="13">
        <f t="shared" si="1"/>
        <v>753</v>
      </c>
      <c r="Y41" s="15">
        <f>SUM(Z77)</f>
        <v>0</v>
      </c>
      <c r="Z41" s="19">
        <f>SUM(Table7[[#This Row],[Tax Paid Fuel (Gallons)]]-Table7[[#This Row],[Taxable Fuel (Gallons)]])</f>
        <v>753</v>
      </c>
      <c r="AA41" s="12">
        <v>0.24</v>
      </c>
      <c r="AB41" s="14">
        <f>SUM(Table7[[#This Row],[Net Taxable Fuel (Gallons)]]*Table7[[#This Row],[Tax Rate]])</f>
        <v>180.72</v>
      </c>
    </row>
    <row r="42" spans="1:28" ht="13.5" x14ac:dyDescent="0.15">
      <c r="A42" s="1"/>
      <c r="B42">
        <v>2013</v>
      </c>
      <c r="C42" s="7" t="s">
        <v>58</v>
      </c>
      <c r="G42">
        <v>2016</v>
      </c>
      <c r="H42" s="7" t="s">
        <v>58</v>
      </c>
      <c r="L42">
        <v>2017</v>
      </c>
      <c r="M42" s="7" t="s">
        <v>58</v>
      </c>
      <c r="Q42">
        <v>2019</v>
      </c>
      <c r="R42" s="7" t="s">
        <v>58</v>
      </c>
      <c r="S42">
        <v>171</v>
      </c>
      <c r="T42">
        <v>71</v>
      </c>
      <c r="V42" s="7" t="s">
        <v>58</v>
      </c>
      <c r="W42">
        <f t="shared" si="0"/>
        <v>171</v>
      </c>
      <c r="X42" s="13">
        <f t="shared" si="1"/>
        <v>71</v>
      </c>
      <c r="Y42" s="15">
        <f>SUM(Table7[[#This Row],[MILES6]]/Z43)</f>
        <v>26.513702782175976</v>
      </c>
      <c r="Z42" s="19">
        <f>SUM(Table7[[#This Row],[Tax Paid Fuel (Gallons)]]-Table7[[#This Row],[Taxable Fuel (Gallons)]])</f>
        <v>44.486297217824024</v>
      </c>
      <c r="AA42" s="12">
        <v>0.32900000000000001</v>
      </c>
      <c r="AB42" s="14">
        <f>SUM(Table7[[#This Row],[Net Taxable Fuel (Gallons)]]*Table7[[#This Row],[Tax Rate]])</f>
        <v>14.635991784664105</v>
      </c>
    </row>
    <row r="43" spans="1:28" ht="13.5" x14ac:dyDescent="0.15">
      <c r="A43" s="1"/>
      <c r="B43">
        <v>2013</v>
      </c>
      <c r="C43" t="s">
        <v>9</v>
      </c>
      <c r="D43">
        <f>SUM(D7:D42)</f>
        <v>27453</v>
      </c>
      <c r="E43">
        <f>SUM(E7:E42)</f>
        <v>4458</v>
      </c>
      <c r="F43">
        <f>SUM(D43/E43)</f>
        <v>6.1581426648721402</v>
      </c>
      <c r="G43">
        <v>2016</v>
      </c>
      <c r="H43" t="s">
        <v>9</v>
      </c>
      <c r="I43">
        <f>SUM(I7:I42)</f>
        <v>28800</v>
      </c>
      <c r="J43">
        <f>SUM(J7:J42)</f>
        <v>4107</v>
      </c>
      <c r="K43">
        <f>SUM(I43/J43)</f>
        <v>7.0124178232286338</v>
      </c>
      <c r="L43">
        <v>2017</v>
      </c>
      <c r="M43" t="s">
        <v>9</v>
      </c>
      <c r="N43">
        <f>SUM(N7:N42)</f>
        <v>31327</v>
      </c>
      <c r="O43">
        <f>SUM(O7:O42)</f>
        <v>4808</v>
      </c>
      <c r="P43">
        <f>SUM(N43/O43)</f>
        <v>6.5155990016638938</v>
      </c>
      <c r="Q43">
        <v>2019</v>
      </c>
      <c r="R43" t="s">
        <v>9</v>
      </c>
      <c r="S43">
        <f>SUM(S7:S42)</f>
        <v>22945</v>
      </c>
      <c r="T43">
        <f>SUM(T7:T42)</f>
        <v>3764</v>
      </c>
      <c r="U43">
        <f>SUM(S43/T43)</f>
        <v>6.0959086078639748</v>
      </c>
      <c r="V43" t="s">
        <v>9</v>
      </c>
      <c r="W43">
        <f t="shared" si="0"/>
        <v>110525</v>
      </c>
      <c r="X43" s="13">
        <f t="shared" si="1"/>
        <v>17137</v>
      </c>
      <c r="Y43" s="15">
        <f t="shared" ref="Y43:Y50" si="2">SUM(Z79)</f>
        <v>0</v>
      </c>
      <c r="Z43" s="17">
        <f>SUM(W43/X43)</f>
        <v>6.4494952442084381</v>
      </c>
      <c r="AB43" s="12">
        <f>SUM(Table7[[#This Row],[Net Taxable Fuel (Gallons)]]*Table7[[#This Row],[Tax Rate]])</f>
        <v>0</v>
      </c>
    </row>
    <row r="44" spans="1:28" ht="13.5" x14ac:dyDescent="0.15">
      <c r="A44" s="1"/>
      <c r="F44" t="s">
        <v>39</v>
      </c>
      <c r="K44" t="s">
        <v>39</v>
      </c>
      <c r="P44" t="s">
        <v>39</v>
      </c>
      <c r="U44" t="s">
        <v>39</v>
      </c>
      <c r="Y44">
        <f t="shared" si="2"/>
        <v>0</v>
      </c>
      <c r="Z44" s="13" t="s">
        <v>39</v>
      </c>
      <c r="AB44" s="12"/>
    </row>
    <row r="45" spans="1:28" ht="24" x14ac:dyDescent="0.15">
      <c r="A45" s="1"/>
      <c r="B45" s="2">
        <v>584.02</v>
      </c>
      <c r="G45" s="8">
        <v>854.07</v>
      </c>
      <c r="K45" s="3" t="s">
        <v>57</v>
      </c>
      <c r="L45" s="9">
        <v>514.67999999999995</v>
      </c>
      <c r="Q45" s="2">
        <v>521.83000000000004</v>
      </c>
      <c r="W45">
        <f t="shared" ref="W45:X50" si="3">SUM(D45,I45,N45,S45)</f>
        <v>0</v>
      </c>
      <c r="X45" s="13">
        <f t="shared" si="3"/>
        <v>0</v>
      </c>
      <c r="Y45">
        <f t="shared" si="2"/>
        <v>0</v>
      </c>
      <c r="Z45" s="18">
        <f>SUM(Table7[[#This Row],[2013]],Table7[[#This Row],[2016]],Table7[[#This Row],[2017]],Table7[[#This Row],[2019]])</f>
        <v>2474.6</v>
      </c>
      <c r="AA45" s="10"/>
      <c r="AB45" s="20">
        <f>SUM(AB7:AB42)</f>
        <v>-2394.4186384256941</v>
      </c>
    </row>
    <row r="46" spans="1:28" ht="13.5" x14ac:dyDescent="0.15">
      <c r="A46" s="1"/>
      <c r="G46" s="3"/>
      <c r="W46">
        <f t="shared" si="3"/>
        <v>0</v>
      </c>
      <c r="X46" s="13">
        <f t="shared" si="3"/>
        <v>0</v>
      </c>
      <c r="Y46">
        <f t="shared" si="2"/>
        <v>0</v>
      </c>
      <c r="AB46" s="14"/>
    </row>
    <row r="47" spans="1:28" ht="13.5" x14ac:dyDescent="0.15">
      <c r="A47" s="4"/>
      <c r="B47" s="5" t="s">
        <v>26</v>
      </c>
      <c r="G47" t="s">
        <v>26</v>
      </c>
      <c r="L47" t="s">
        <v>26</v>
      </c>
      <c r="M47">
        <v>9.1300000000000008</v>
      </c>
      <c r="Q47" t="s">
        <v>26</v>
      </c>
      <c r="W47">
        <f t="shared" si="3"/>
        <v>0</v>
      </c>
      <c r="X47" s="13">
        <f t="shared" si="3"/>
        <v>0</v>
      </c>
      <c r="Y47">
        <f t="shared" si="2"/>
        <v>0</v>
      </c>
      <c r="AB47" s="14">
        <f>SUM(Table7[[#This Row],[Net Taxable Fuel (Gallons)]]*Table7[[#This Row],[Tax Rate]])</f>
        <v>0</v>
      </c>
    </row>
    <row r="48" spans="1:28" ht="13.5" x14ac:dyDescent="0.15">
      <c r="A48" s="4"/>
      <c r="B48" s="6" t="s">
        <v>14</v>
      </c>
      <c r="C48">
        <v>33.93</v>
      </c>
      <c r="G48" s="7" t="s">
        <v>14</v>
      </c>
      <c r="H48" s="7">
        <v>13.97</v>
      </c>
      <c r="L48" t="s">
        <v>14</v>
      </c>
      <c r="M48">
        <v>15.98</v>
      </c>
      <c r="Q48" t="s">
        <v>14</v>
      </c>
      <c r="W48">
        <f t="shared" si="3"/>
        <v>0</v>
      </c>
      <c r="X48" s="13">
        <f t="shared" si="3"/>
        <v>0</v>
      </c>
      <c r="Y48">
        <f t="shared" si="2"/>
        <v>0</v>
      </c>
      <c r="AB48" s="14">
        <f>SUM(Table7[[#This Row],[Net Taxable Fuel (Gallons)]]*Table7[[#This Row],[Tax Rate]])</f>
        <v>0</v>
      </c>
    </row>
    <row r="49" spans="1:28" ht="13.5" x14ac:dyDescent="0.15">
      <c r="A49" s="4"/>
      <c r="B49" s="21" t="s">
        <v>66</v>
      </c>
      <c r="C49">
        <v>193.68</v>
      </c>
      <c r="G49" s="22" t="s">
        <v>66</v>
      </c>
      <c r="K49" s="6"/>
      <c r="L49" s="6" t="s">
        <v>66</v>
      </c>
      <c r="M49">
        <v>164.54</v>
      </c>
      <c r="Q49" s="6" t="s">
        <v>66</v>
      </c>
      <c r="R49">
        <v>216.03</v>
      </c>
      <c r="W49">
        <f t="shared" si="3"/>
        <v>0</v>
      </c>
      <c r="X49" s="13">
        <f t="shared" si="3"/>
        <v>0</v>
      </c>
      <c r="Y49">
        <f t="shared" si="2"/>
        <v>0</v>
      </c>
      <c r="AB49" s="14">
        <f>SUM(Table7[[#This Row],[Net Taxable Fuel (Gallons)]]*Table7[[#This Row],[Tax Rate]])</f>
        <v>0</v>
      </c>
    </row>
    <row r="50" spans="1:28" ht="13.5" x14ac:dyDescent="0.15">
      <c r="A50" s="1"/>
      <c r="B50" t="s">
        <v>65</v>
      </c>
      <c r="G50" t="s">
        <v>65</v>
      </c>
      <c r="L50" t="s">
        <v>65</v>
      </c>
      <c r="Q50" t="s">
        <v>65</v>
      </c>
      <c r="W50">
        <f t="shared" si="3"/>
        <v>0</v>
      </c>
      <c r="X50" s="13">
        <f t="shared" si="3"/>
        <v>0</v>
      </c>
      <c r="Y50">
        <f t="shared" si="2"/>
        <v>0</v>
      </c>
      <c r="AB50" s="14">
        <f>SUM(Table7[[#This Row],[Net Taxable Fuel (Gallons)]]*Table7[[#This Row],[Tax Rate]])</f>
        <v>0</v>
      </c>
    </row>
    <row r="51" spans="1:28" ht="13.5" x14ac:dyDescent="0.15">
      <c r="A51" s="1"/>
    </row>
    <row r="52" spans="1:28" ht="13.5" x14ac:dyDescent="0.15">
      <c r="A52" s="1"/>
    </row>
    <row r="53" spans="1:28" ht="13.5" x14ac:dyDescent="0.15">
      <c r="A53" s="1"/>
    </row>
    <row r="54" spans="1:28" ht="13.5" x14ac:dyDescent="0.15">
      <c r="A54" s="1"/>
    </row>
    <row r="55" spans="1:28" ht="13.5" x14ac:dyDescent="0.15">
      <c r="A55" s="1"/>
    </row>
    <row r="56" spans="1:28" ht="13.5" x14ac:dyDescent="0.15">
      <c r="A56" s="1"/>
    </row>
    <row r="57" spans="1:28" ht="13.5" x14ac:dyDescent="0.15">
      <c r="A57" s="1"/>
    </row>
    <row r="58" spans="1:28" ht="13.5" x14ac:dyDescent="0.15">
      <c r="A58" s="1"/>
    </row>
    <row r="59" spans="1:28" ht="13.5" x14ac:dyDescent="0.15">
      <c r="A59" s="1"/>
    </row>
    <row r="60" spans="1:28" ht="13.5" x14ac:dyDescent="0.15">
      <c r="A60" s="1"/>
    </row>
    <row r="61" spans="1:28" ht="13.5" x14ac:dyDescent="0.15">
      <c r="A61" s="1"/>
    </row>
    <row r="63" spans="1:28" ht="13.5" x14ac:dyDescent="0.15">
      <c r="A63" s="1"/>
    </row>
    <row r="64" spans="1:28" ht="13.5" x14ac:dyDescent="0.15">
      <c r="A64" s="1"/>
    </row>
    <row r="65" spans="1:1" ht="13.5" x14ac:dyDescent="0.15">
      <c r="A65" s="1"/>
    </row>
    <row r="66" spans="1:1" ht="13.5" x14ac:dyDescent="0.15">
      <c r="A66" s="1"/>
    </row>
    <row r="67" spans="1:1" ht="13.5" x14ac:dyDescent="0.15">
      <c r="A67" s="1"/>
    </row>
    <row r="68" spans="1:1" ht="13.5" x14ac:dyDescent="0.15">
      <c r="A68" s="1"/>
    </row>
    <row r="69" spans="1:1" ht="13.5" x14ac:dyDescent="0.15">
      <c r="A69" s="1"/>
    </row>
    <row r="70" spans="1:1" ht="13.5" x14ac:dyDescent="0.15">
      <c r="A70" s="1"/>
    </row>
    <row r="71" spans="1:1" ht="13.5" x14ac:dyDescent="0.15">
      <c r="A71" s="1"/>
    </row>
    <row r="72" spans="1:1" ht="13.5" x14ac:dyDescent="0.15">
      <c r="A72" s="1"/>
    </row>
    <row r="73" spans="1:1" ht="13.5" x14ac:dyDescent="0.15">
      <c r="A73" s="1"/>
    </row>
    <row r="74" spans="1:1" ht="13.5" x14ac:dyDescent="0.15">
      <c r="A74" s="1"/>
    </row>
    <row r="75" spans="1:1" ht="13.5" x14ac:dyDescent="0.15">
      <c r="A75" s="1"/>
    </row>
    <row r="76" spans="1:1" ht="13.5" x14ac:dyDescent="0.15">
      <c r="A76" s="1"/>
    </row>
    <row r="77" spans="1:1" ht="13.5" x14ac:dyDescent="0.15">
      <c r="A77" s="1"/>
    </row>
    <row r="78" spans="1:1" ht="13.5" x14ac:dyDescent="0.15">
      <c r="A78" s="1"/>
    </row>
    <row r="79" spans="1:1" ht="13.5" x14ac:dyDescent="0.15">
      <c r="A79" s="1"/>
    </row>
    <row r="80" spans="1:1" ht="13.5" x14ac:dyDescent="0.15">
      <c r="A80" s="1"/>
    </row>
    <row r="81" spans="1:1" ht="13.5" x14ac:dyDescent="0.15">
      <c r="A81" s="1"/>
    </row>
    <row r="82" spans="1:1" ht="13.5" x14ac:dyDescent="0.15">
      <c r="A82" s="1"/>
    </row>
    <row r="83" spans="1:1" ht="13.5" x14ac:dyDescent="0.15">
      <c r="A83" s="1"/>
    </row>
    <row r="84" spans="1:1" ht="13.5" x14ac:dyDescent="0.15">
      <c r="A84" s="1"/>
    </row>
    <row r="85" spans="1:1" ht="13.5" x14ac:dyDescent="0.15">
      <c r="A85" s="1"/>
    </row>
    <row r="86" spans="1:1" ht="13.5" x14ac:dyDescent="0.15">
      <c r="A86" s="1"/>
    </row>
    <row r="87" spans="1:1" ht="13.5" x14ac:dyDescent="0.15">
      <c r="A87" s="1"/>
    </row>
    <row r="88" spans="1:1" ht="13.5" x14ac:dyDescent="0.15">
      <c r="A88" s="1"/>
    </row>
    <row r="89" spans="1:1" ht="13.5" x14ac:dyDescent="0.15">
      <c r="A89" s="1"/>
    </row>
    <row r="90" spans="1:1" ht="13.5" x14ac:dyDescent="0.15">
      <c r="A90" s="1"/>
    </row>
    <row r="91" spans="1:1" ht="13.5" x14ac:dyDescent="0.15">
      <c r="A91" s="1"/>
    </row>
    <row r="92" spans="1:1" ht="13.5" x14ac:dyDescent="0.15">
      <c r="A92" s="1"/>
    </row>
  </sheetData>
  <mergeCells count="1">
    <mergeCell ref="B1:AB5"/>
  </mergeCells>
  <phoneticPr fontId="6" alignment="center"/>
  <pageMargins left="0.75" right="0.75" top="1" bottom="1" header="0.5" footer="0.5"/>
  <pageSetup paperSize="9" scale="10" firstPageNumber="0" fitToWidth="0" fitToHeight="0" pageOrder="overThenDown" orientation="portrait" horizontalDpi="300" verticalDpi="300" r:id="rId1"/>
  <headerFooter alignWithMargins="0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D7092-E754-471A-819D-614A133740DF}">
  <dimension ref="B1:AB52"/>
  <sheetViews>
    <sheetView topLeftCell="O6" workbookViewId="0">
      <selection activeCell="E45" sqref="E45"/>
    </sheetView>
  </sheetViews>
  <sheetFormatPr defaultColWidth="8.76171875" defaultRowHeight="12.75" x14ac:dyDescent="0.15"/>
  <cols>
    <col min="24" max="24" width="24.67578125" customWidth="1"/>
    <col min="25" max="25" width="18.33984375" customWidth="1"/>
    <col min="28" max="28" width="10.11328125" bestFit="1" customWidth="1"/>
  </cols>
  <sheetData>
    <row r="1" spans="2:28" x14ac:dyDescent="0.15">
      <c r="B1" s="36" t="s">
        <v>67</v>
      </c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</row>
    <row r="2" spans="2:28" x14ac:dyDescent="0.15"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</row>
    <row r="3" spans="2:28" x14ac:dyDescent="0.15"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</row>
    <row r="4" spans="2:28" x14ac:dyDescent="0.15"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</row>
    <row r="5" spans="2:28" x14ac:dyDescent="0.15"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</row>
    <row r="6" spans="2:28" x14ac:dyDescent="0.15">
      <c r="B6" t="s">
        <v>31</v>
      </c>
      <c r="C6" t="s">
        <v>36</v>
      </c>
      <c r="D6" t="s">
        <v>37</v>
      </c>
      <c r="E6" t="s">
        <v>38</v>
      </c>
      <c r="F6" t="s">
        <v>39</v>
      </c>
      <c r="G6" t="s">
        <v>19</v>
      </c>
      <c r="H6" t="s">
        <v>40</v>
      </c>
      <c r="I6" t="s">
        <v>41</v>
      </c>
      <c r="J6" t="s">
        <v>42</v>
      </c>
      <c r="K6" t="s">
        <v>43</v>
      </c>
      <c r="L6" t="s">
        <v>10</v>
      </c>
      <c r="M6" t="s">
        <v>44</v>
      </c>
      <c r="N6" t="s">
        <v>45</v>
      </c>
      <c r="O6" t="s">
        <v>46</v>
      </c>
      <c r="P6" t="s">
        <v>47</v>
      </c>
      <c r="Q6" t="s">
        <v>0</v>
      </c>
      <c r="R6" t="s">
        <v>48</v>
      </c>
      <c r="S6" t="s">
        <v>49</v>
      </c>
      <c r="T6" t="s">
        <v>50</v>
      </c>
      <c r="U6" t="s">
        <v>51</v>
      </c>
      <c r="V6" t="s">
        <v>52</v>
      </c>
      <c r="W6" t="s">
        <v>53</v>
      </c>
      <c r="X6" s="13" t="s">
        <v>61</v>
      </c>
      <c r="Y6" t="s">
        <v>62</v>
      </c>
      <c r="Z6" s="13" t="s">
        <v>63</v>
      </c>
      <c r="AA6" t="s">
        <v>35</v>
      </c>
      <c r="AB6" t="s">
        <v>64</v>
      </c>
    </row>
    <row r="7" spans="2:28" x14ac:dyDescent="0.15">
      <c r="B7">
        <v>2013</v>
      </c>
      <c r="C7" t="s">
        <v>20</v>
      </c>
      <c r="D7">
        <v>0</v>
      </c>
      <c r="E7">
        <v>0</v>
      </c>
      <c r="G7">
        <v>2016</v>
      </c>
      <c r="H7" t="s">
        <v>20</v>
      </c>
      <c r="I7">
        <v>0</v>
      </c>
      <c r="J7">
        <v>0</v>
      </c>
      <c r="L7">
        <v>2017</v>
      </c>
      <c r="M7" t="s">
        <v>20</v>
      </c>
      <c r="N7">
        <v>188</v>
      </c>
      <c r="O7">
        <v>101</v>
      </c>
      <c r="Q7">
        <v>2019</v>
      </c>
      <c r="R7" t="s">
        <v>20</v>
      </c>
      <c r="S7">
        <v>190</v>
      </c>
      <c r="T7">
        <v>61</v>
      </c>
      <c r="V7" t="s">
        <v>20</v>
      </c>
      <c r="W7">
        <f t="shared" ref="W7:W43" si="0">SUM(D7,I7,N7,S7)</f>
        <v>378</v>
      </c>
      <c r="X7" s="13">
        <f t="shared" ref="X7:X43" si="1">SUM(E7,J7,O7,T7)</f>
        <v>162</v>
      </c>
      <c r="Y7" s="15">
        <f>SUM(Table73[[#This Row],[MILES6]]/Z43)</f>
        <v>55.306918144096564</v>
      </c>
      <c r="Z7" s="17">
        <f>SUM(Table73[[#This Row],[Tax Paid Fuel (Gallons)]]-Table73[[#This Row],[Taxable Fuel (Gallons)]])</f>
        <v>106.69308185590344</v>
      </c>
      <c r="AA7" s="11">
        <v>0.3</v>
      </c>
      <c r="AB7" s="16">
        <f>SUM(Table73[[#This Row],[Net Taxable Fuel (Gallons)]]*Table73[[#This Row],[Tax Rate]])</f>
        <v>32.00792455677103</v>
      </c>
    </row>
    <row r="8" spans="2:28" x14ac:dyDescent="0.15">
      <c r="B8">
        <v>2013</v>
      </c>
      <c r="C8" t="s">
        <v>21</v>
      </c>
      <c r="D8">
        <v>521</v>
      </c>
      <c r="E8">
        <v>130</v>
      </c>
      <c r="G8">
        <v>2016</v>
      </c>
      <c r="H8" t="s">
        <v>21</v>
      </c>
      <c r="I8">
        <v>0</v>
      </c>
      <c r="J8">
        <v>0</v>
      </c>
      <c r="L8">
        <v>2017</v>
      </c>
      <c r="M8" t="s">
        <v>21</v>
      </c>
      <c r="N8">
        <v>569</v>
      </c>
      <c r="O8">
        <v>0</v>
      </c>
      <c r="Q8">
        <v>2019</v>
      </c>
      <c r="R8" t="s">
        <v>21</v>
      </c>
      <c r="S8">
        <v>286</v>
      </c>
      <c r="T8">
        <v>61</v>
      </c>
      <c r="V8" t="s">
        <v>21</v>
      </c>
      <c r="W8">
        <f t="shared" si="0"/>
        <v>1376</v>
      </c>
      <c r="X8" s="13">
        <f t="shared" si="1"/>
        <v>191</v>
      </c>
      <c r="Y8" s="15">
        <f>SUM(Table73[[#This Row],[MILES6]]/Z43)</f>
        <v>201.32888721237268</v>
      </c>
      <c r="Z8" s="19">
        <f>SUM(Table73[[#This Row],[Tax Paid Fuel (Gallons)]]-Table73[[#This Row],[Taxable Fuel (Gallons)]])</f>
        <v>-10.328887212372678</v>
      </c>
      <c r="AA8" s="12">
        <v>0.28499999999999998</v>
      </c>
      <c r="AB8" s="14">
        <f>SUM(Table73[[#This Row],[Net Taxable Fuel (Gallons)]]*Table73[[#This Row],[Tax Rate]])</f>
        <v>-2.9437328555262128</v>
      </c>
    </row>
    <row r="9" spans="2:28" x14ac:dyDescent="0.15">
      <c r="B9">
        <v>2013</v>
      </c>
      <c r="C9" t="s">
        <v>1</v>
      </c>
      <c r="D9">
        <v>362</v>
      </c>
      <c r="E9">
        <v>100</v>
      </c>
      <c r="G9">
        <v>2016</v>
      </c>
      <c r="H9" t="s">
        <v>1</v>
      </c>
      <c r="I9">
        <v>5934</v>
      </c>
      <c r="J9">
        <v>1093</v>
      </c>
      <c r="L9">
        <v>2017</v>
      </c>
      <c r="M9" t="s">
        <v>1</v>
      </c>
      <c r="N9">
        <v>8536</v>
      </c>
      <c r="O9">
        <v>1417</v>
      </c>
      <c r="Q9">
        <v>2019</v>
      </c>
      <c r="R9" t="s">
        <v>1</v>
      </c>
      <c r="S9">
        <v>3835</v>
      </c>
      <c r="T9">
        <v>1209</v>
      </c>
      <c r="V9" t="s">
        <v>1</v>
      </c>
      <c r="W9">
        <f t="shared" si="0"/>
        <v>18667</v>
      </c>
      <c r="X9" s="13">
        <f t="shared" si="1"/>
        <v>3819</v>
      </c>
      <c r="Y9" s="15">
        <f>SUM(Table73[[#This Row],[MILES6]]/Z43)</f>
        <v>2731.2546058091284</v>
      </c>
      <c r="Z9" s="19">
        <f>SUM(Table73[[#This Row],[Tax Paid Fuel (Gallons)]]-Table73[[#This Row],[Taxable Fuel (Gallons)]])</f>
        <v>1087.7453941908716</v>
      </c>
      <c r="AA9" s="12">
        <v>0.26</v>
      </c>
      <c r="AB9" s="14">
        <f>SUM(Table73[[#This Row],[Net Taxable Fuel (Gallons)]]*Table73[[#This Row],[Tax Rate]])</f>
        <v>282.8138024896266</v>
      </c>
    </row>
    <row r="10" spans="2:28" x14ac:dyDescent="0.15">
      <c r="B10">
        <v>2013</v>
      </c>
      <c r="C10" t="s">
        <v>2</v>
      </c>
      <c r="D10">
        <v>4900</v>
      </c>
      <c r="E10">
        <v>224</v>
      </c>
      <c r="G10">
        <v>2016</v>
      </c>
      <c r="H10" t="s">
        <v>2</v>
      </c>
      <c r="I10">
        <v>8879</v>
      </c>
      <c r="J10">
        <v>606</v>
      </c>
      <c r="L10">
        <v>2017</v>
      </c>
      <c r="M10" t="s">
        <v>2</v>
      </c>
      <c r="N10">
        <v>6481</v>
      </c>
      <c r="O10">
        <v>514</v>
      </c>
      <c r="Q10">
        <v>2019</v>
      </c>
      <c r="R10" t="s">
        <v>2</v>
      </c>
      <c r="S10">
        <v>9541</v>
      </c>
      <c r="T10">
        <v>319</v>
      </c>
      <c r="V10" t="s">
        <v>2</v>
      </c>
      <c r="W10">
        <f t="shared" si="0"/>
        <v>29801</v>
      </c>
      <c r="X10" s="13">
        <f t="shared" si="1"/>
        <v>1663</v>
      </c>
      <c r="Y10" s="15">
        <f>SUM(Table73[[#This Row],[MILES6]]/Z43)</f>
        <v>4360.3213428894751</v>
      </c>
      <c r="Z10" s="19">
        <f>SUM(Table73[[#This Row],[Tax Paid Fuel (Gallons)]]-Table73[[#This Row],[Taxable Fuel (Gallons)]])</f>
        <v>-2697.3213428894751</v>
      </c>
      <c r="AA10" s="12">
        <v>1.0229999999999999</v>
      </c>
      <c r="AB10" s="14">
        <f>SUM(Table73[[#This Row],[Net Taxable Fuel (Gallons)]]*Table73[[#This Row],[Tax Rate]])</f>
        <v>-2759.3597337759329</v>
      </c>
    </row>
    <row r="11" spans="2:28" x14ac:dyDescent="0.15">
      <c r="B11">
        <v>2013</v>
      </c>
      <c r="C11" t="s">
        <v>11</v>
      </c>
      <c r="D11">
        <v>410</v>
      </c>
      <c r="E11">
        <v>0</v>
      </c>
      <c r="G11">
        <v>2016</v>
      </c>
      <c r="H11" t="s">
        <v>11</v>
      </c>
      <c r="I11">
        <v>69</v>
      </c>
      <c r="J11">
        <v>0</v>
      </c>
      <c r="L11">
        <v>2017</v>
      </c>
      <c r="M11" t="s">
        <v>11</v>
      </c>
      <c r="N11">
        <v>298</v>
      </c>
      <c r="O11">
        <v>0</v>
      </c>
      <c r="Q11">
        <v>2019</v>
      </c>
      <c r="R11" t="s">
        <v>11</v>
      </c>
      <c r="S11">
        <v>0</v>
      </c>
      <c r="T11">
        <v>0</v>
      </c>
      <c r="V11" t="s">
        <v>11</v>
      </c>
      <c r="W11">
        <f t="shared" si="0"/>
        <v>777</v>
      </c>
      <c r="X11" s="13">
        <f t="shared" si="1"/>
        <v>0</v>
      </c>
      <c r="Y11" s="15">
        <f>SUM(Table73[[#This Row],[MILES6]]/Z43)</f>
        <v>113.68644285175405</v>
      </c>
      <c r="Z11" s="19">
        <f>SUM(Table73[[#This Row],[Tax Paid Fuel (Gallons)]]-Table73[[#This Row],[Taxable Fuel (Gallons)]])</f>
        <v>-113.68644285175405</v>
      </c>
      <c r="AA11" s="12">
        <v>0.28499999999999998</v>
      </c>
      <c r="AB11" s="14">
        <f>SUM(Table73[[#This Row],[Net Taxable Fuel (Gallons)]]*Table73[[#This Row],[Tax Rate]])</f>
        <v>-32.400636212749902</v>
      </c>
    </row>
    <row r="12" spans="2:28" x14ac:dyDescent="0.15">
      <c r="B12">
        <v>2013</v>
      </c>
      <c r="C12" s="7" t="s">
        <v>59</v>
      </c>
      <c r="D12">
        <v>0</v>
      </c>
      <c r="E12">
        <v>0</v>
      </c>
      <c r="G12">
        <v>2016</v>
      </c>
      <c r="H12" s="7" t="s">
        <v>59</v>
      </c>
      <c r="I12">
        <v>0</v>
      </c>
      <c r="J12">
        <v>0</v>
      </c>
      <c r="L12">
        <v>2017</v>
      </c>
      <c r="M12" s="7" t="s">
        <v>59</v>
      </c>
      <c r="N12">
        <v>0</v>
      </c>
      <c r="O12">
        <v>0</v>
      </c>
      <c r="Q12">
        <v>2019</v>
      </c>
      <c r="R12" s="7" t="s">
        <v>59</v>
      </c>
      <c r="S12">
        <v>0</v>
      </c>
      <c r="T12">
        <v>0</v>
      </c>
      <c r="V12" s="7" t="s">
        <v>59</v>
      </c>
      <c r="W12">
        <f t="shared" si="0"/>
        <v>0</v>
      </c>
      <c r="X12" s="13">
        <f t="shared" si="1"/>
        <v>0</v>
      </c>
      <c r="Y12" s="15">
        <f>SUM(Table73[[#This Row],[MILES6]]/Z43)</f>
        <v>0</v>
      </c>
      <c r="Z12" s="19">
        <f>SUM(Table73[[#This Row],[Tax Paid Fuel (Gallons)]]-Table73[[#This Row],[Taxable Fuel (Gallons)]])</f>
        <v>0</v>
      </c>
      <c r="AA12" s="12">
        <v>0.4027</v>
      </c>
      <c r="AB12" s="14">
        <f>SUM(Table73[[#This Row],[Net Taxable Fuel (Gallons)]]*Table73[[#This Row],[Tax Rate]])</f>
        <v>0</v>
      </c>
    </row>
    <row r="13" spans="2:28" x14ac:dyDescent="0.15">
      <c r="B13">
        <v>2013</v>
      </c>
      <c r="C13" t="s">
        <v>32</v>
      </c>
      <c r="D13">
        <v>0</v>
      </c>
      <c r="E13">
        <v>0</v>
      </c>
      <c r="G13">
        <v>2016</v>
      </c>
      <c r="H13" t="s">
        <v>32</v>
      </c>
      <c r="I13">
        <v>0</v>
      </c>
      <c r="J13">
        <v>0</v>
      </c>
      <c r="L13">
        <v>2017</v>
      </c>
      <c r="M13" t="s">
        <v>32</v>
      </c>
      <c r="N13">
        <v>0</v>
      </c>
      <c r="O13">
        <v>0</v>
      </c>
      <c r="Q13">
        <v>2019</v>
      </c>
      <c r="R13" t="s">
        <v>32</v>
      </c>
      <c r="S13">
        <v>705</v>
      </c>
      <c r="T13">
        <v>61</v>
      </c>
      <c r="V13" t="s">
        <v>32</v>
      </c>
      <c r="W13">
        <f t="shared" si="0"/>
        <v>705</v>
      </c>
      <c r="X13" s="13">
        <f t="shared" si="1"/>
        <v>61</v>
      </c>
      <c r="Y13" s="15">
        <f>SUM(Table73[[#This Row],[MILES6]]/Z43)</f>
        <v>103.15179177668804</v>
      </c>
      <c r="Z13" s="19">
        <f>SUM(Table73[[#This Row],[Tax Paid Fuel (Gallons)]]-Table73[[#This Row],[Taxable Fuel (Gallons)]])</f>
        <v>-42.151791776688043</v>
      </c>
      <c r="AA13" s="12">
        <v>0.371</v>
      </c>
      <c r="AB13" s="14">
        <f>SUM(Table73[[#This Row],[Net Taxable Fuel (Gallons)]]*Table73[[#This Row],[Tax Rate]])</f>
        <v>-15.638314749151263</v>
      </c>
    </row>
    <row r="14" spans="2:28" x14ac:dyDescent="0.15">
      <c r="B14">
        <v>2013</v>
      </c>
      <c r="C14" t="s">
        <v>22</v>
      </c>
      <c r="D14">
        <v>954</v>
      </c>
      <c r="E14">
        <v>363</v>
      </c>
      <c r="G14">
        <v>2016</v>
      </c>
      <c r="H14" t="s">
        <v>22</v>
      </c>
      <c r="I14">
        <v>13</v>
      </c>
      <c r="J14">
        <v>0</v>
      </c>
      <c r="L14">
        <v>2017</v>
      </c>
      <c r="M14" t="s">
        <v>22</v>
      </c>
      <c r="N14">
        <v>13</v>
      </c>
      <c r="O14">
        <v>0</v>
      </c>
      <c r="Q14">
        <v>2019</v>
      </c>
      <c r="R14" t="s">
        <v>22</v>
      </c>
      <c r="S14">
        <v>40</v>
      </c>
      <c r="T14">
        <v>0</v>
      </c>
      <c r="V14" t="s">
        <v>22</v>
      </c>
      <c r="W14">
        <f t="shared" si="0"/>
        <v>1020</v>
      </c>
      <c r="X14" s="13">
        <f t="shared" si="1"/>
        <v>363</v>
      </c>
      <c r="Y14" s="15">
        <f>SUM(Table73[[#This Row],[MILES6]]/Z43)</f>
        <v>149.24089023010183</v>
      </c>
      <c r="Z14" s="19">
        <f>SUM(Table73[[#This Row],[Tax Paid Fuel (Gallons)]]-Table73[[#This Row],[Taxable Fuel (Gallons)]])</f>
        <v>213.75910976989817</v>
      </c>
      <c r="AA14" s="12">
        <v>0.32500000000000001</v>
      </c>
      <c r="AB14" s="14">
        <f>SUM(Table73[[#This Row],[Net Taxable Fuel (Gallons)]]*Table73[[#This Row],[Tax Rate]])</f>
        <v>69.471710675216912</v>
      </c>
    </row>
    <row r="15" spans="2:28" x14ac:dyDescent="0.15">
      <c r="B15">
        <v>2013</v>
      </c>
      <c r="C15" t="s">
        <v>3</v>
      </c>
      <c r="D15">
        <v>3064</v>
      </c>
      <c r="E15">
        <v>714</v>
      </c>
      <c r="G15">
        <v>2016</v>
      </c>
      <c r="H15" t="s">
        <v>3</v>
      </c>
      <c r="I15">
        <v>71</v>
      </c>
      <c r="J15">
        <v>0</v>
      </c>
      <c r="L15">
        <v>2017</v>
      </c>
      <c r="M15" t="s">
        <v>3</v>
      </c>
      <c r="N15">
        <v>226</v>
      </c>
      <c r="O15">
        <v>0</v>
      </c>
      <c r="Q15">
        <v>2019</v>
      </c>
      <c r="R15" t="s">
        <v>3</v>
      </c>
      <c r="S15">
        <v>1879</v>
      </c>
      <c r="T15">
        <v>163</v>
      </c>
      <c r="V15" t="s">
        <v>3</v>
      </c>
      <c r="W15">
        <f t="shared" si="0"/>
        <v>5240</v>
      </c>
      <c r="X15" s="13">
        <f t="shared" si="1"/>
        <v>877</v>
      </c>
      <c r="Y15" s="15">
        <f>SUM(Table73[[#This Row],[MILES6]]/Z43)</f>
        <v>766.68849490758203</v>
      </c>
      <c r="Z15" s="19">
        <f>SUM(Table73[[#This Row],[Tax Paid Fuel (Gallons)]]-Y15)</f>
        <v>110.31150509241797</v>
      </c>
      <c r="AA15" s="12">
        <v>0.32</v>
      </c>
      <c r="AB15" s="14">
        <f>SUM(Table73[[#This Row],[Net Taxable Fuel (Gallons)]]*Table73[[#This Row],[Tax Rate]])</f>
        <v>35.299681629573755</v>
      </c>
    </row>
    <row r="16" spans="2:28" x14ac:dyDescent="0.15">
      <c r="B16">
        <v>2013</v>
      </c>
      <c r="C16" t="s">
        <v>23</v>
      </c>
      <c r="D16">
        <v>125</v>
      </c>
      <c r="E16">
        <v>0</v>
      </c>
      <c r="G16">
        <v>2016</v>
      </c>
      <c r="H16" t="s">
        <v>23</v>
      </c>
      <c r="I16">
        <v>261</v>
      </c>
      <c r="J16">
        <v>0</v>
      </c>
      <c r="L16">
        <v>2017</v>
      </c>
      <c r="M16" t="s">
        <v>23</v>
      </c>
      <c r="N16">
        <v>298</v>
      </c>
      <c r="O16">
        <v>0</v>
      </c>
      <c r="Q16">
        <v>2019</v>
      </c>
      <c r="R16" t="s">
        <v>23</v>
      </c>
      <c r="S16">
        <v>559</v>
      </c>
      <c r="T16">
        <v>0</v>
      </c>
      <c r="V16" t="s">
        <v>23</v>
      </c>
      <c r="W16">
        <f t="shared" si="0"/>
        <v>1243</v>
      </c>
      <c r="X16" s="13">
        <f t="shared" si="1"/>
        <v>0</v>
      </c>
      <c r="Y16" s="15">
        <f>SUM(Table73[[#This Row],[MILES6]]/Z43)</f>
        <v>181.86904564315353</v>
      </c>
      <c r="Z16" s="19">
        <f>SUM(Table73[[#This Row],[Tax Paid Fuel (Gallons)]]-Table73[[#This Row],[Taxable Fuel (Gallons)]])</f>
        <v>-181.86904564315353</v>
      </c>
      <c r="AA16" s="12">
        <v>0.73599999999999999</v>
      </c>
      <c r="AB16" s="14">
        <f>SUM(Table73[[#This Row],[Net Taxable Fuel (Gallons)]]*Table73[[#This Row],[Tax Rate]])</f>
        <v>-133.85561759336099</v>
      </c>
    </row>
    <row r="17" spans="2:28" x14ac:dyDescent="0.15">
      <c r="B17">
        <v>2013</v>
      </c>
      <c r="C17" t="s">
        <v>24</v>
      </c>
      <c r="D17">
        <v>0</v>
      </c>
      <c r="E17">
        <v>0</v>
      </c>
      <c r="G17">
        <v>2016</v>
      </c>
      <c r="H17" t="s">
        <v>24</v>
      </c>
      <c r="I17">
        <v>299</v>
      </c>
      <c r="J17">
        <v>0</v>
      </c>
      <c r="L17">
        <v>2017</v>
      </c>
      <c r="M17" t="s">
        <v>24</v>
      </c>
      <c r="N17">
        <v>284</v>
      </c>
      <c r="O17">
        <v>0</v>
      </c>
      <c r="Q17">
        <v>2019</v>
      </c>
      <c r="R17" t="s">
        <v>24</v>
      </c>
      <c r="S17">
        <v>0</v>
      </c>
      <c r="T17">
        <v>0</v>
      </c>
      <c r="V17" t="s">
        <v>24</v>
      </c>
      <c r="W17">
        <f t="shared" si="0"/>
        <v>583</v>
      </c>
      <c r="X17" s="13">
        <f t="shared" si="1"/>
        <v>0</v>
      </c>
      <c r="Y17" s="15">
        <f>SUM(Table73[[#This Row],[MILES6]]/Z43)</f>
        <v>85.301410788381745</v>
      </c>
      <c r="Z17" s="19">
        <f>SUM(Table73[[#This Row],[Tax Paid Fuel (Gallons)]]-Table73[[#This Row],[Taxable Fuel (Gallons)]])</f>
        <v>-85.301410788381745</v>
      </c>
      <c r="AA17" s="12">
        <v>0.59</v>
      </c>
      <c r="AB17" s="14">
        <f>SUM(Table73[[#This Row],[Net Taxable Fuel (Gallons)]]*Table73[[#This Row],[Tax Rate]])</f>
        <v>-50.327832365145227</v>
      </c>
    </row>
    <row r="18" spans="2:28" x14ac:dyDescent="0.15">
      <c r="B18">
        <v>2013</v>
      </c>
      <c r="C18" t="s">
        <v>25</v>
      </c>
      <c r="D18">
        <v>432</v>
      </c>
      <c r="E18">
        <v>68</v>
      </c>
      <c r="G18">
        <v>2016</v>
      </c>
      <c r="H18" t="s">
        <v>25</v>
      </c>
      <c r="I18">
        <v>253</v>
      </c>
      <c r="L18">
        <v>2017</v>
      </c>
      <c r="M18" t="s">
        <v>25</v>
      </c>
      <c r="N18">
        <v>1378</v>
      </c>
      <c r="O18">
        <v>121</v>
      </c>
      <c r="Q18">
        <v>2019</v>
      </c>
      <c r="R18" t="s">
        <v>25</v>
      </c>
      <c r="S18">
        <v>0</v>
      </c>
      <c r="T18">
        <v>0</v>
      </c>
      <c r="V18" t="s">
        <v>25</v>
      </c>
      <c r="W18">
        <f t="shared" si="0"/>
        <v>2063</v>
      </c>
      <c r="X18" s="13">
        <f t="shared" si="1"/>
        <v>189</v>
      </c>
      <c r="Y18" s="15">
        <f>SUM(Table73[[#This Row],[MILES6]]/Z43)</f>
        <v>301.84701622029422</v>
      </c>
      <c r="Z18" s="19">
        <f>SUM(Table73[[#This Row],[Tax Paid Fuel (Gallons)]]-Table73[[#This Row],[Taxable Fuel (Gallons)]])</f>
        <v>-112.84701622029422</v>
      </c>
      <c r="AA18" s="12">
        <v>0.26</v>
      </c>
      <c r="AB18" s="14">
        <f>SUM(Table73[[#This Row],[Net Taxable Fuel (Gallons)]]*Table73[[#This Row],[Tax Rate]])</f>
        <v>-29.3402242172765</v>
      </c>
    </row>
    <row r="19" spans="2:28" x14ac:dyDescent="0.15">
      <c r="B19">
        <v>2013</v>
      </c>
      <c r="C19" t="s">
        <v>26</v>
      </c>
      <c r="D19">
        <v>0</v>
      </c>
      <c r="E19">
        <v>0</v>
      </c>
      <c r="G19">
        <v>2016</v>
      </c>
      <c r="H19" t="s">
        <v>26</v>
      </c>
      <c r="I19">
        <v>0</v>
      </c>
      <c r="J19">
        <v>0</v>
      </c>
      <c r="L19">
        <v>2017</v>
      </c>
      <c r="M19" t="s">
        <v>26</v>
      </c>
      <c r="N19">
        <v>147</v>
      </c>
      <c r="O19">
        <v>143</v>
      </c>
      <c r="Q19">
        <v>2019</v>
      </c>
      <c r="R19" t="s">
        <v>26</v>
      </c>
      <c r="S19">
        <v>215</v>
      </c>
      <c r="T19">
        <v>0</v>
      </c>
      <c r="V19" t="s">
        <v>26</v>
      </c>
      <c r="W19">
        <f t="shared" si="0"/>
        <v>362</v>
      </c>
      <c r="X19" s="13">
        <f t="shared" si="1"/>
        <v>143</v>
      </c>
      <c r="Y19" s="15">
        <f>SUM(Table73[[#This Row],[MILES6]]/Z43)</f>
        <v>52.965884571859675</v>
      </c>
      <c r="Z19" s="19">
        <f>SUM(Table73[[#This Row],[Tax Paid Fuel (Gallons)]]-Table73[[#This Row],[Taxable Fuel (Gallons)]])</f>
        <v>90.034115428140325</v>
      </c>
      <c r="AA19" s="12">
        <v>0.23400000000000001</v>
      </c>
      <c r="AB19" s="14">
        <f>SUM(Table73[[#This Row],[Net Taxable Fuel (Gallons)]]*Table73[[#This Row],[Tax Rate]])</f>
        <v>21.067983010184836</v>
      </c>
    </row>
    <row r="20" spans="2:28" x14ac:dyDescent="0.15">
      <c r="B20">
        <v>2013</v>
      </c>
      <c r="C20" t="s">
        <v>54</v>
      </c>
      <c r="D20">
        <v>0</v>
      </c>
      <c r="E20">
        <v>0</v>
      </c>
      <c r="G20">
        <v>2016</v>
      </c>
      <c r="H20" t="s">
        <v>54</v>
      </c>
      <c r="I20">
        <v>0</v>
      </c>
      <c r="J20">
        <v>0</v>
      </c>
      <c r="L20">
        <v>2017</v>
      </c>
      <c r="M20" t="s">
        <v>54</v>
      </c>
      <c r="N20">
        <v>0</v>
      </c>
      <c r="O20">
        <v>0</v>
      </c>
      <c r="Q20">
        <v>2019</v>
      </c>
      <c r="R20" t="s">
        <v>54</v>
      </c>
      <c r="S20">
        <v>0</v>
      </c>
      <c r="T20">
        <v>0</v>
      </c>
      <c r="V20" t="s">
        <v>54</v>
      </c>
      <c r="W20">
        <f t="shared" si="0"/>
        <v>0</v>
      </c>
      <c r="X20" s="13">
        <f t="shared" si="1"/>
        <v>0</v>
      </c>
      <c r="Y20" s="15">
        <f>SUM(Table73[[#This Row],[MILES6]]/Z43)</f>
        <v>0</v>
      </c>
      <c r="Z20" s="19">
        <f>SUM(Table73[[#This Row],[Tax Paid Fuel (Gallons)]]-Table73[[#This Row],[Taxable Fuel (Gallons)]])</f>
        <v>0</v>
      </c>
      <c r="AA20" s="12">
        <v>0.2</v>
      </c>
      <c r="AB20" s="14">
        <f>SUM(Table73[[#This Row],[Net Taxable Fuel (Gallons)]]*Table73[[#This Row],[Tax Rate]])</f>
        <v>0</v>
      </c>
    </row>
    <row r="21" spans="2:28" x14ac:dyDescent="0.15">
      <c r="B21">
        <v>2013</v>
      </c>
      <c r="C21" t="s">
        <v>55</v>
      </c>
      <c r="D21">
        <v>122</v>
      </c>
      <c r="E21">
        <v>0</v>
      </c>
      <c r="G21">
        <v>2016</v>
      </c>
      <c r="H21" t="s">
        <v>55</v>
      </c>
      <c r="I21">
        <v>0</v>
      </c>
      <c r="J21">
        <v>0</v>
      </c>
      <c r="L21">
        <v>2017</v>
      </c>
      <c r="M21" t="s">
        <v>55</v>
      </c>
      <c r="N21">
        <v>0</v>
      </c>
      <c r="O21">
        <v>0</v>
      </c>
      <c r="Q21">
        <v>2019</v>
      </c>
      <c r="R21" t="s">
        <v>55</v>
      </c>
      <c r="S21">
        <v>0</v>
      </c>
      <c r="T21">
        <v>0</v>
      </c>
      <c r="V21" t="s">
        <v>55</v>
      </c>
      <c r="W21">
        <f t="shared" si="0"/>
        <v>122</v>
      </c>
      <c r="X21" s="13">
        <f t="shared" si="1"/>
        <v>0</v>
      </c>
      <c r="Y21" s="15">
        <f>SUM(Table73[[#This Row],[MILES6]]/Z43)</f>
        <v>17.850380988306298</v>
      </c>
      <c r="Z21" s="19">
        <f>SUM(Table73[[#This Row],[Tax Paid Fuel (Gallons)]]-Table73[[#This Row],[Taxable Fuel (Gallons)]])</f>
        <v>-17.850380988306298</v>
      </c>
      <c r="AA21" s="12">
        <v>0.318</v>
      </c>
      <c r="AB21" s="14">
        <f>SUM(Table73[[#This Row],[Net Taxable Fuel (Gallons)]]*Table73[[#This Row],[Tax Rate]])</f>
        <v>-5.6764211542814031</v>
      </c>
    </row>
    <row r="22" spans="2:28" x14ac:dyDescent="0.15">
      <c r="B22">
        <v>2013</v>
      </c>
      <c r="C22" s="7" t="s">
        <v>28</v>
      </c>
      <c r="D22">
        <v>39</v>
      </c>
      <c r="E22">
        <v>0</v>
      </c>
      <c r="G22">
        <v>2016</v>
      </c>
      <c r="H22" s="7" t="s">
        <v>28</v>
      </c>
      <c r="I22">
        <v>0</v>
      </c>
      <c r="J22">
        <v>0</v>
      </c>
      <c r="L22">
        <v>2017</v>
      </c>
      <c r="M22" s="7" t="s">
        <v>28</v>
      </c>
      <c r="N22">
        <v>195</v>
      </c>
      <c r="O22">
        <v>0</v>
      </c>
      <c r="Q22">
        <v>2019</v>
      </c>
      <c r="R22" s="7" t="s">
        <v>28</v>
      </c>
      <c r="S22">
        <v>119</v>
      </c>
      <c r="T22">
        <v>0</v>
      </c>
      <c r="V22" s="7" t="s">
        <v>28</v>
      </c>
      <c r="W22">
        <f t="shared" si="0"/>
        <v>353</v>
      </c>
      <c r="X22" s="13">
        <f t="shared" si="1"/>
        <v>0</v>
      </c>
      <c r="Y22" s="15">
        <f>SUM(Table73[[#This Row],[MILES6]]/Z43)</f>
        <v>51.649053187476419</v>
      </c>
      <c r="Z22" s="19">
        <f>SUM(Table73[[#This Row],[Tax Paid Fuel (Gallons)]]-Table73[[#This Row],[Taxable Fuel (Gallons)]])</f>
        <v>-51.649053187476419</v>
      </c>
      <c r="AA22" s="12">
        <v>0.18</v>
      </c>
      <c r="AB22" s="14">
        <f>SUM(Table73[[#This Row],[Net Taxable Fuel (Gallons)]]*Table73[[#This Row],[Tax Rate]])</f>
        <v>-9.2968295737457556</v>
      </c>
    </row>
    <row r="23" spans="2:28" x14ac:dyDescent="0.15">
      <c r="B23">
        <v>2013</v>
      </c>
      <c r="C23" t="s">
        <v>27</v>
      </c>
      <c r="D23">
        <v>1269</v>
      </c>
      <c r="E23">
        <v>0</v>
      </c>
      <c r="G23">
        <v>2016</v>
      </c>
      <c r="H23" t="s">
        <v>27</v>
      </c>
      <c r="I23">
        <v>675</v>
      </c>
      <c r="J23">
        <v>0</v>
      </c>
      <c r="L23">
        <v>2017</v>
      </c>
      <c r="M23" t="s">
        <v>27</v>
      </c>
      <c r="N23">
        <v>642</v>
      </c>
      <c r="O23">
        <v>90</v>
      </c>
      <c r="Q23">
        <v>2019</v>
      </c>
      <c r="R23" t="s">
        <v>27</v>
      </c>
      <c r="S23">
        <v>1145</v>
      </c>
      <c r="T23">
        <v>205</v>
      </c>
      <c r="V23" t="s">
        <v>27</v>
      </c>
      <c r="W23">
        <f t="shared" si="0"/>
        <v>3731</v>
      </c>
      <c r="X23" s="13">
        <f t="shared" si="1"/>
        <v>295</v>
      </c>
      <c r="Y23" s="15">
        <f>SUM(Table73[[#This Row],[MILES6]]/Z43)</f>
        <v>545.89976612599014</v>
      </c>
      <c r="Z23" s="19">
        <f>SUM(Table73[[#This Row],[Tax Paid Fuel (Gallons)]]-Y23)</f>
        <v>-250.89976612599014</v>
      </c>
      <c r="AA23" s="12">
        <v>0.27</v>
      </c>
      <c r="AB23" s="14">
        <f>SUM(Table73[[#This Row],[Net Taxable Fuel (Gallons)]]*Table73[[#This Row],[Tax Rate]])</f>
        <v>-67.742936854017344</v>
      </c>
    </row>
    <row r="24" spans="2:28" x14ac:dyDescent="0.15">
      <c r="B24">
        <v>2013</v>
      </c>
      <c r="C24" t="s">
        <v>4</v>
      </c>
      <c r="D24">
        <v>914</v>
      </c>
      <c r="E24">
        <v>90</v>
      </c>
      <c r="G24">
        <v>2016</v>
      </c>
      <c r="H24" t="s">
        <v>4</v>
      </c>
      <c r="I24">
        <v>0</v>
      </c>
      <c r="J24">
        <v>0</v>
      </c>
      <c r="L24">
        <v>2017</v>
      </c>
      <c r="M24" t="s">
        <v>4</v>
      </c>
      <c r="N24">
        <v>0</v>
      </c>
      <c r="O24">
        <v>0</v>
      </c>
      <c r="Q24">
        <v>2019</v>
      </c>
      <c r="R24" t="s">
        <v>4</v>
      </c>
      <c r="S24">
        <v>1437</v>
      </c>
      <c r="T24">
        <v>128</v>
      </c>
      <c r="V24" t="s">
        <v>4</v>
      </c>
      <c r="W24">
        <f t="shared" si="0"/>
        <v>2351</v>
      </c>
      <c r="X24" s="13">
        <f t="shared" si="1"/>
        <v>218</v>
      </c>
      <c r="Y24" s="15">
        <f>SUM(Table73[[#This Row],[MILES6]]/Z43)</f>
        <v>343.98562052055826</v>
      </c>
      <c r="Z24" s="19">
        <f>SUM(Table73[[#This Row],[Tax Paid Fuel (Gallons)]]-Table73[[#This Row],[Taxable Fuel (Gallons)]])</f>
        <v>-125.98562052055826</v>
      </c>
      <c r="AA24" s="12">
        <v>0.29749999999999999</v>
      </c>
      <c r="AB24" s="14">
        <f>SUM(Table73[[#This Row],[Net Taxable Fuel (Gallons)]]*Table73[[#This Row],[Tax Rate]])</f>
        <v>-37.480722104866082</v>
      </c>
    </row>
    <row r="25" spans="2:28" x14ac:dyDescent="0.15">
      <c r="B25">
        <v>2013</v>
      </c>
      <c r="D25">
        <v>0</v>
      </c>
      <c r="E25">
        <v>0</v>
      </c>
      <c r="G25">
        <v>2016</v>
      </c>
      <c r="I25">
        <v>0</v>
      </c>
      <c r="J25">
        <v>0</v>
      </c>
      <c r="L25">
        <v>2017</v>
      </c>
      <c r="O25">
        <v>0</v>
      </c>
      <c r="Q25">
        <v>2019</v>
      </c>
      <c r="T25">
        <v>0</v>
      </c>
      <c r="W25">
        <f t="shared" si="0"/>
        <v>0</v>
      </c>
      <c r="X25" s="13">
        <f t="shared" si="1"/>
        <v>0</v>
      </c>
      <c r="Y25" s="15">
        <f>SUM(Table73[[#This Row],[MILES6]]/Z43)</f>
        <v>0</v>
      </c>
      <c r="Z25" s="19">
        <f>SUM(Table73[[#This Row],[Tax Paid Fuel (Gallons)]]-Table73[[#This Row],[Taxable Fuel (Gallons)]])</f>
        <v>0</v>
      </c>
      <c r="AA25" s="12"/>
      <c r="AB25" s="14">
        <f>SUM(Table73[[#This Row],[Net Taxable Fuel (Gallons)]]*Table73[[#This Row],[Tax Rate]])</f>
        <v>0</v>
      </c>
    </row>
    <row r="26" spans="2:28" x14ac:dyDescent="0.15">
      <c r="B26">
        <v>2013</v>
      </c>
      <c r="C26" t="s">
        <v>33</v>
      </c>
      <c r="D26">
        <v>0</v>
      </c>
      <c r="E26">
        <v>0</v>
      </c>
      <c r="G26">
        <v>2016</v>
      </c>
      <c r="H26" t="s">
        <v>33</v>
      </c>
      <c r="I26">
        <v>0</v>
      </c>
      <c r="J26">
        <v>0</v>
      </c>
      <c r="L26">
        <v>2017</v>
      </c>
      <c r="M26" t="s">
        <v>33</v>
      </c>
      <c r="N26">
        <v>0</v>
      </c>
      <c r="O26">
        <v>0</v>
      </c>
      <c r="Q26">
        <v>2019</v>
      </c>
      <c r="R26" t="s">
        <v>33</v>
      </c>
      <c r="S26">
        <v>0</v>
      </c>
      <c r="T26">
        <v>0</v>
      </c>
      <c r="V26" t="s">
        <v>33</v>
      </c>
      <c r="W26">
        <f t="shared" si="0"/>
        <v>0</v>
      </c>
      <c r="X26" s="13">
        <f t="shared" si="1"/>
        <v>0</v>
      </c>
      <c r="Y26" s="15">
        <f>SUM(Table73[[#This Row],[MILES6]]/Z43)</f>
        <v>0</v>
      </c>
      <c r="Z26" s="19">
        <f>SUM(Table73[[#This Row],[Tax Paid Fuel (Gallons)]]-Y26)</f>
        <v>0</v>
      </c>
      <c r="AA26" s="12">
        <v>0.40300000000000002</v>
      </c>
      <c r="AB26" s="14">
        <f>SUM(Table73[[#This Row],[Net Taxable Fuel (Gallons)]]*Table73[[#This Row],[Tax Rate]])</f>
        <v>0</v>
      </c>
    </row>
    <row r="27" spans="2:28" x14ac:dyDescent="0.15">
      <c r="B27">
        <v>2013</v>
      </c>
      <c r="C27" t="s">
        <v>13</v>
      </c>
      <c r="D27">
        <v>1961</v>
      </c>
      <c r="E27">
        <v>206</v>
      </c>
      <c r="G27">
        <v>2016</v>
      </c>
      <c r="H27" t="s">
        <v>13</v>
      </c>
      <c r="I27">
        <v>1060</v>
      </c>
      <c r="J27">
        <v>224</v>
      </c>
      <c r="L27">
        <v>2017</v>
      </c>
      <c r="M27" t="s">
        <v>13</v>
      </c>
      <c r="N27">
        <v>438</v>
      </c>
      <c r="O27">
        <v>145</v>
      </c>
      <c r="Q27">
        <v>2019</v>
      </c>
      <c r="R27" t="s">
        <v>13</v>
      </c>
      <c r="S27">
        <v>1330</v>
      </c>
      <c r="T27">
        <v>203</v>
      </c>
      <c r="V27" t="s">
        <v>13</v>
      </c>
      <c r="W27">
        <f t="shared" si="0"/>
        <v>4789</v>
      </c>
      <c r="X27" s="13">
        <f t="shared" si="1"/>
        <v>778</v>
      </c>
      <c r="Y27" s="15">
        <f>SUM(Table73[[#This Row],[MILES6]]/Z43)</f>
        <v>700.70061109015467</v>
      </c>
      <c r="Z27" s="19">
        <f>SUM(Table73[[#This Row],[Tax Paid Fuel (Gallons)]]-Table73[[#This Row],[Taxable Fuel (Gallons)]])</f>
        <v>77.299388909845334</v>
      </c>
      <c r="AA27" s="12">
        <v>0.30399999999999999</v>
      </c>
      <c r="AB27" s="14">
        <f>SUM(Table73[[#This Row],[Net Taxable Fuel (Gallons)]]*Table73[[#This Row],[Tax Rate]])</f>
        <v>23.49901422859298</v>
      </c>
    </row>
    <row r="28" spans="2:28" x14ac:dyDescent="0.15">
      <c r="B28">
        <v>2013</v>
      </c>
      <c r="C28" t="s">
        <v>14</v>
      </c>
      <c r="D28">
        <v>859</v>
      </c>
      <c r="E28">
        <v>216</v>
      </c>
      <c r="G28">
        <v>2016</v>
      </c>
      <c r="H28" t="s">
        <v>14</v>
      </c>
      <c r="I28">
        <v>1342</v>
      </c>
      <c r="J28">
        <v>201</v>
      </c>
      <c r="L28">
        <v>2017</v>
      </c>
      <c r="M28" t="s">
        <v>14</v>
      </c>
      <c r="N28">
        <v>2009</v>
      </c>
      <c r="O28">
        <v>379</v>
      </c>
      <c r="Q28">
        <v>2019</v>
      </c>
      <c r="R28" t="s">
        <v>14</v>
      </c>
      <c r="S28">
        <v>446</v>
      </c>
      <c r="T28">
        <v>0</v>
      </c>
      <c r="V28" t="s">
        <v>14</v>
      </c>
      <c r="W28">
        <f t="shared" si="0"/>
        <v>4656</v>
      </c>
      <c r="X28" s="13">
        <f t="shared" si="1"/>
        <v>796</v>
      </c>
      <c r="Y28" s="15">
        <f>SUM(Table73[[#This Row],[MILES6]]/Z43)</f>
        <v>681.24076952093549</v>
      </c>
      <c r="Z28" s="19">
        <f>SUM(Table73[[#This Row],[Tax Paid Fuel (Gallons)]]-Table73[[#This Row],[Taxable Fuel (Gallons)]])</f>
        <v>114.75923047906451</v>
      </c>
      <c r="AA28" s="12">
        <v>0.21</v>
      </c>
      <c r="AB28" s="14">
        <f>SUM(Table73[[#This Row],[Net Taxable Fuel (Gallons)]]*Table73[[#This Row],[Tax Rate]])</f>
        <v>24.099438400603546</v>
      </c>
    </row>
    <row r="29" spans="2:28" x14ac:dyDescent="0.15">
      <c r="B29">
        <v>2013</v>
      </c>
      <c r="C29" t="s">
        <v>12</v>
      </c>
      <c r="D29">
        <v>0</v>
      </c>
      <c r="E29">
        <v>0</v>
      </c>
      <c r="G29">
        <v>2016</v>
      </c>
      <c r="H29" t="s">
        <v>12</v>
      </c>
      <c r="I29">
        <v>0</v>
      </c>
      <c r="J29">
        <v>0</v>
      </c>
      <c r="L29">
        <v>2017</v>
      </c>
      <c r="M29" t="s">
        <v>12</v>
      </c>
      <c r="N29">
        <v>0</v>
      </c>
      <c r="O29">
        <v>0</v>
      </c>
      <c r="Q29">
        <v>2019</v>
      </c>
      <c r="R29" t="s">
        <v>12</v>
      </c>
      <c r="S29">
        <v>0</v>
      </c>
      <c r="T29">
        <v>0</v>
      </c>
      <c r="V29" t="s">
        <v>12</v>
      </c>
      <c r="W29">
        <f t="shared" si="0"/>
        <v>0</v>
      </c>
      <c r="X29" s="13">
        <f t="shared" si="1"/>
        <v>0</v>
      </c>
      <c r="Y29" s="15">
        <f>SUM(Table73[[#This Row],[MILES6]]/Z43)</f>
        <v>0</v>
      </c>
      <c r="Z29" s="19">
        <f>SUM(Table73[[#This Row],[Tax Paid Fuel (Gallons)]]-Table73[[#This Row],[Taxable Fuel (Gallons)]])</f>
        <v>0</v>
      </c>
      <c r="AA29" s="12">
        <v>0.23</v>
      </c>
      <c r="AB29" s="14">
        <f>SUM(Table73[[#This Row],[Net Taxable Fuel (Gallons)]]*Table73[[#This Row],[Tax Rate]])</f>
        <v>0</v>
      </c>
    </row>
    <row r="30" spans="2:28" x14ac:dyDescent="0.15">
      <c r="B30">
        <v>2013</v>
      </c>
      <c r="C30" t="s">
        <v>5</v>
      </c>
      <c r="D30">
        <v>4829</v>
      </c>
      <c r="E30">
        <v>1351</v>
      </c>
      <c r="G30">
        <v>2016</v>
      </c>
      <c r="H30" t="s">
        <v>5</v>
      </c>
      <c r="I30">
        <v>7619</v>
      </c>
      <c r="J30">
        <v>1197</v>
      </c>
      <c r="L30">
        <v>2017</v>
      </c>
      <c r="M30" t="s">
        <v>5</v>
      </c>
      <c r="N30">
        <v>7532</v>
      </c>
      <c r="O30">
        <v>899</v>
      </c>
      <c r="Q30">
        <v>2019</v>
      </c>
      <c r="R30" t="s">
        <v>5</v>
      </c>
      <c r="S30">
        <v>6844</v>
      </c>
      <c r="T30">
        <v>977</v>
      </c>
      <c r="V30" t="s">
        <v>5</v>
      </c>
      <c r="W30">
        <f t="shared" si="0"/>
        <v>26824</v>
      </c>
      <c r="X30" s="13">
        <f t="shared" si="1"/>
        <v>4424</v>
      </c>
      <c r="Y30" s="15">
        <f>SUM(Table73[[#This Row],[MILES6]]/Z43)</f>
        <v>3924.7427838551489</v>
      </c>
      <c r="Z30" s="19">
        <f>SUM(Table73[[#This Row],[Tax Paid Fuel (Gallons)]]-Table73[[#This Row],[Taxable Fuel (Gallons)]])</f>
        <v>499.2572161448511</v>
      </c>
      <c r="AA30" s="12">
        <v>0.27</v>
      </c>
      <c r="AB30" s="14">
        <f>SUM(Table73[[#This Row],[Net Taxable Fuel (Gallons)]]*Table73[[#This Row],[Tax Rate]])</f>
        <v>134.79944835910982</v>
      </c>
    </row>
    <row r="31" spans="2:28" x14ac:dyDescent="0.15">
      <c r="B31">
        <v>2013</v>
      </c>
      <c r="C31" t="s">
        <v>29</v>
      </c>
      <c r="D31">
        <v>0</v>
      </c>
      <c r="E31">
        <v>0</v>
      </c>
      <c r="G31">
        <v>2016</v>
      </c>
      <c r="H31" t="s">
        <v>29</v>
      </c>
      <c r="I31">
        <v>0</v>
      </c>
      <c r="J31">
        <v>0</v>
      </c>
      <c r="L31">
        <v>2017</v>
      </c>
      <c r="M31" t="s">
        <v>29</v>
      </c>
      <c r="N31">
        <v>0</v>
      </c>
      <c r="O31">
        <v>0</v>
      </c>
      <c r="Q31">
        <v>2019</v>
      </c>
      <c r="R31" t="s">
        <v>29</v>
      </c>
      <c r="S31">
        <v>0</v>
      </c>
      <c r="T31">
        <v>0</v>
      </c>
      <c r="V31" t="s">
        <v>29</v>
      </c>
      <c r="W31">
        <f t="shared" si="0"/>
        <v>0</v>
      </c>
      <c r="X31" s="13">
        <f t="shared" si="1"/>
        <v>0</v>
      </c>
      <c r="Y31" s="15">
        <f>SUM(Table73[[#This Row],[MILES6]]/Z43)</f>
        <v>0</v>
      </c>
      <c r="Z31" s="19">
        <f>SUM(Table73[[#This Row],[Tax Paid Fuel (Gallons)]]-Table73[[#This Row],[Taxable Fuel (Gallons)]])</f>
        <v>0</v>
      </c>
      <c r="AA31" s="12">
        <v>0.47</v>
      </c>
      <c r="AB31" s="14">
        <f>SUM(Table73[[#This Row],[Net Taxable Fuel (Gallons)]]*Table73[[#This Row],[Tax Rate]])</f>
        <v>0</v>
      </c>
    </row>
    <row r="32" spans="2:28" x14ac:dyDescent="0.15">
      <c r="B32">
        <v>2013</v>
      </c>
      <c r="C32" t="s">
        <v>15</v>
      </c>
      <c r="D32">
        <v>331</v>
      </c>
      <c r="E32">
        <v>143</v>
      </c>
      <c r="G32">
        <v>2016</v>
      </c>
      <c r="H32" t="s">
        <v>15</v>
      </c>
      <c r="I32">
        <v>674</v>
      </c>
      <c r="J32">
        <v>412</v>
      </c>
      <c r="L32">
        <v>2017</v>
      </c>
      <c r="M32" t="s">
        <v>15</v>
      </c>
      <c r="N32">
        <v>776</v>
      </c>
      <c r="O32">
        <v>263</v>
      </c>
      <c r="Q32">
        <v>2019</v>
      </c>
      <c r="R32" t="s">
        <v>15</v>
      </c>
      <c r="S32">
        <v>333</v>
      </c>
      <c r="T32">
        <v>80</v>
      </c>
      <c r="V32" t="s">
        <v>15</v>
      </c>
      <c r="W32">
        <f t="shared" si="0"/>
        <v>2114</v>
      </c>
      <c r="X32" s="13">
        <f t="shared" si="1"/>
        <v>898</v>
      </c>
      <c r="Y32" s="15">
        <f>SUM(Table73[[#This Row],[MILES6]]/Z43)</f>
        <v>309.30906073179932</v>
      </c>
      <c r="Z32" s="19">
        <f>SUM(Table73[[#This Row],[Tax Paid Fuel (Gallons)]]-Table73[[#This Row],[Taxable Fuel (Gallons)]])</f>
        <v>588.69093926820074</v>
      </c>
      <c r="AA32" s="12">
        <v>0.19</v>
      </c>
      <c r="AB32" s="14">
        <f>SUM(Table73[[#This Row],[Net Taxable Fuel (Gallons)]]*Table73[[#This Row],[Tax Rate]])</f>
        <v>111.85127846095814</v>
      </c>
    </row>
    <row r="33" spans="2:28" x14ac:dyDescent="0.15">
      <c r="B33">
        <v>2013</v>
      </c>
      <c r="C33" t="s">
        <v>6</v>
      </c>
      <c r="D33">
        <v>3058</v>
      </c>
      <c r="E33">
        <v>215</v>
      </c>
      <c r="G33">
        <v>2016</v>
      </c>
      <c r="H33" t="s">
        <v>6</v>
      </c>
      <c r="I33">
        <v>2567</v>
      </c>
      <c r="J33">
        <v>692</v>
      </c>
      <c r="L33">
        <v>2017</v>
      </c>
      <c r="M33" t="s">
        <v>6</v>
      </c>
      <c r="N33">
        <v>556</v>
      </c>
      <c r="O33">
        <v>140</v>
      </c>
      <c r="Q33">
        <v>2019</v>
      </c>
      <c r="R33" t="s">
        <v>6</v>
      </c>
      <c r="S33">
        <v>3035</v>
      </c>
      <c r="T33">
        <v>647</v>
      </c>
      <c r="V33" t="s">
        <v>6</v>
      </c>
      <c r="W33">
        <f t="shared" si="0"/>
        <v>9216</v>
      </c>
      <c r="X33" s="13">
        <f t="shared" si="1"/>
        <v>1694</v>
      </c>
      <c r="Y33" s="15">
        <f>SUM(Table73[[#This Row],[MILES6]]/Z43)</f>
        <v>1348.4353376084496</v>
      </c>
      <c r="Z33" s="19">
        <f>SUM(Table73[[#This Row],[Tax Paid Fuel (Gallons)]]-Table73[[#This Row],[Taxable Fuel (Gallons)]])</f>
        <v>345.56466239155043</v>
      </c>
      <c r="AA33" s="12">
        <v>0</v>
      </c>
      <c r="AB33" s="14">
        <f>SUM(Table73[[#This Row],[Net Taxable Fuel (Gallons)]]*Table73[[#This Row],[Tax Rate]])</f>
        <v>0</v>
      </c>
    </row>
    <row r="34" spans="2:28" x14ac:dyDescent="0.15">
      <c r="B34">
        <v>2013</v>
      </c>
      <c r="C34" t="s">
        <v>34</v>
      </c>
      <c r="D34">
        <v>0</v>
      </c>
      <c r="E34">
        <v>0</v>
      </c>
      <c r="G34">
        <v>2016</v>
      </c>
      <c r="H34" t="s">
        <v>34</v>
      </c>
      <c r="I34">
        <v>0</v>
      </c>
      <c r="J34">
        <v>0</v>
      </c>
      <c r="L34">
        <v>2017</v>
      </c>
      <c r="M34" t="s">
        <v>34</v>
      </c>
      <c r="N34">
        <v>0</v>
      </c>
      <c r="O34">
        <v>0</v>
      </c>
      <c r="Q34">
        <v>2019</v>
      </c>
      <c r="R34" t="s">
        <v>34</v>
      </c>
      <c r="S34">
        <v>50</v>
      </c>
      <c r="T34">
        <v>0</v>
      </c>
      <c r="V34" t="s">
        <v>34</v>
      </c>
      <c r="W34">
        <f t="shared" si="0"/>
        <v>50</v>
      </c>
      <c r="X34" s="13">
        <f t="shared" si="1"/>
        <v>0</v>
      </c>
      <c r="Y34" s="15">
        <f>SUM(Table73[[#This Row],[MILES6]]/Z43)</f>
        <v>7.3157299132402862</v>
      </c>
      <c r="Z34" s="19">
        <f>SUM(Table73[[#This Row],[Tax Paid Fuel (Gallons)]]-Table73[[#This Row],[Taxable Fuel (Gallons)]])</f>
        <v>-7.3157299132402862</v>
      </c>
      <c r="AA34" s="12">
        <v>0.28000000000000003</v>
      </c>
      <c r="AB34" s="14">
        <f>SUM(Table73[[#This Row],[Net Taxable Fuel (Gallons)]]*Table73[[#This Row],[Tax Rate]])</f>
        <v>-2.0484043757072805</v>
      </c>
    </row>
    <row r="35" spans="2:28" x14ac:dyDescent="0.15">
      <c r="B35">
        <v>2013</v>
      </c>
      <c r="C35" t="s">
        <v>16</v>
      </c>
      <c r="D35">
        <v>0</v>
      </c>
      <c r="E35">
        <v>0</v>
      </c>
      <c r="G35">
        <v>2016</v>
      </c>
      <c r="H35" t="s">
        <v>16</v>
      </c>
      <c r="I35">
        <v>0</v>
      </c>
      <c r="J35">
        <v>0</v>
      </c>
      <c r="L35">
        <v>2017</v>
      </c>
      <c r="M35" t="s">
        <v>16</v>
      </c>
      <c r="N35">
        <v>0</v>
      </c>
      <c r="O35">
        <v>0</v>
      </c>
      <c r="Q35">
        <v>2019</v>
      </c>
      <c r="R35" t="s">
        <v>16</v>
      </c>
      <c r="S35">
        <v>0</v>
      </c>
      <c r="T35">
        <v>0</v>
      </c>
      <c r="V35" t="s">
        <v>16</v>
      </c>
      <c r="W35">
        <f t="shared" si="0"/>
        <v>0</v>
      </c>
      <c r="X35" s="13">
        <f t="shared" si="1"/>
        <v>0</v>
      </c>
      <c r="Y35" s="15">
        <f>SUM(Table73[[#This Row],[MILES6]]/Z43)</f>
        <v>0</v>
      </c>
      <c r="Z35" s="19">
        <f>SUM(Table73[[#This Row],[Tax Paid Fuel (Gallons)]]-Table73[[#This Row],[Taxable Fuel (Gallons)]])</f>
        <v>0</v>
      </c>
      <c r="AA35" s="12">
        <v>0.28000000000000003</v>
      </c>
      <c r="AB35" s="14">
        <f>SUM(Table73[[#This Row],[Net Taxable Fuel (Gallons)]]*Table73[[#This Row],[Tax Rate]])</f>
        <v>0</v>
      </c>
    </row>
    <row r="36" spans="2:28" x14ac:dyDescent="0.15">
      <c r="B36">
        <v>2013</v>
      </c>
      <c r="C36" t="s">
        <v>30</v>
      </c>
      <c r="D36">
        <v>31</v>
      </c>
      <c r="E36">
        <v>0</v>
      </c>
      <c r="G36">
        <v>2016</v>
      </c>
      <c r="H36" t="s">
        <v>30</v>
      </c>
      <c r="I36">
        <v>0</v>
      </c>
      <c r="J36">
        <v>0</v>
      </c>
      <c r="L36">
        <v>2017</v>
      </c>
      <c r="M36" t="s">
        <v>30</v>
      </c>
      <c r="N36">
        <v>50</v>
      </c>
      <c r="O36">
        <v>0</v>
      </c>
      <c r="Q36">
        <v>2019</v>
      </c>
      <c r="R36" t="s">
        <v>30</v>
      </c>
      <c r="S36">
        <v>393</v>
      </c>
      <c r="T36">
        <v>136</v>
      </c>
      <c r="V36" t="s">
        <v>30</v>
      </c>
      <c r="W36">
        <f t="shared" si="0"/>
        <v>474</v>
      </c>
      <c r="X36" s="13">
        <f t="shared" si="1"/>
        <v>136</v>
      </c>
      <c r="Y36" s="15">
        <f>SUM(Table73[[#This Row],[MILES6]]/Z43)</f>
        <v>69.353119577517916</v>
      </c>
      <c r="Z36" s="19">
        <f>SUM(Table73[[#This Row],[Tax Paid Fuel (Gallons)]]-Table73[[#This Row],[Taxable Fuel (Gallons)]])</f>
        <v>66.646880422482084</v>
      </c>
      <c r="AA36" s="12">
        <v>0.27</v>
      </c>
      <c r="AB36" s="14">
        <f>SUM(Table73[[#This Row],[Net Taxable Fuel (Gallons)]]*Table73[[#This Row],[Tax Rate]])</f>
        <v>17.994657714070165</v>
      </c>
    </row>
    <row r="37" spans="2:28" x14ac:dyDescent="0.15">
      <c r="B37">
        <v>2013</v>
      </c>
      <c r="C37" t="s">
        <v>17</v>
      </c>
      <c r="D37">
        <v>177</v>
      </c>
      <c r="E37">
        <v>0</v>
      </c>
      <c r="G37">
        <v>2016</v>
      </c>
      <c r="H37" t="s">
        <v>17</v>
      </c>
      <c r="I37">
        <v>413</v>
      </c>
      <c r="J37">
        <v>0</v>
      </c>
      <c r="L37">
        <v>2017</v>
      </c>
      <c r="M37" t="s">
        <v>17</v>
      </c>
      <c r="N37">
        <v>538</v>
      </c>
      <c r="O37">
        <v>0</v>
      </c>
      <c r="Q37">
        <v>2019</v>
      </c>
      <c r="R37" t="s">
        <v>17</v>
      </c>
      <c r="S37">
        <v>177</v>
      </c>
      <c r="T37">
        <v>0</v>
      </c>
      <c r="V37" t="s">
        <v>17</v>
      </c>
      <c r="W37">
        <f t="shared" si="0"/>
        <v>1305</v>
      </c>
      <c r="X37" s="13">
        <f t="shared" si="1"/>
        <v>0</v>
      </c>
      <c r="Y37" s="15">
        <f>SUM(Table73[[#This Row],[MILES6]]/Z43)</f>
        <v>190.94055073557146</v>
      </c>
      <c r="Z37" s="19">
        <f>SUM(Table73[[#This Row],[Tax Paid Fuel (Gallons)]]-Table73[[#This Row],[Taxable Fuel (Gallons)]])</f>
        <v>-190.94055073557146</v>
      </c>
      <c r="AA37" s="12">
        <v>0.2</v>
      </c>
      <c r="AB37" s="14">
        <f>SUM(Table73[[#This Row],[Net Taxable Fuel (Gallons)]]*Table73[[#This Row],[Tax Rate]])</f>
        <v>-38.188110147114294</v>
      </c>
    </row>
    <row r="38" spans="2:28" x14ac:dyDescent="0.15">
      <c r="B38">
        <v>2013</v>
      </c>
      <c r="C38" t="s">
        <v>7</v>
      </c>
      <c r="D38">
        <v>2430</v>
      </c>
      <c r="E38">
        <v>175</v>
      </c>
      <c r="G38">
        <v>2016</v>
      </c>
      <c r="H38" t="s">
        <v>7</v>
      </c>
      <c r="I38">
        <v>1642</v>
      </c>
      <c r="J38">
        <v>184</v>
      </c>
      <c r="L38">
        <v>2017</v>
      </c>
      <c r="M38" t="s">
        <v>7</v>
      </c>
      <c r="N38">
        <v>541</v>
      </c>
      <c r="O38">
        <v>135</v>
      </c>
      <c r="Q38">
        <v>2019</v>
      </c>
      <c r="R38" t="s">
        <v>7</v>
      </c>
      <c r="S38">
        <v>1622</v>
      </c>
      <c r="T38">
        <v>719</v>
      </c>
      <c r="V38" t="s">
        <v>7</v>
      </c>
      <c r="W38">
        <f t="shared" si="0"/>
        <v>6235</v>
      </c>
      <c r="X38" s="13">
        <f t="shared" si="1"/>
        <v>1213</v>
      </c>
      <c r="Y38" s="15">
        <f>SUM(Table73[[#This Row],[MILES6]]/Z43)</f>
        <v>912.27152018106369</v>
      </c>
      <c r="Z38" s="19">
        <f>SUM(Table73[[#This Row],[Tax Paid Fuel (Gallons)]]-Table73[[#This Row],[Taxable Fuel (Gallons)]])</f>
        <v>300.72847981893631</v>
      </c>
      <c r="AA38" s="12">
        <v>0.38500000000000001</v>
      </c>
      <c r="AB38" s="14">
        <f>SUM(Table73[[#This Row],[Net Taxable Fuel (Gallons)]]*Table73[[#This Row],[Tax Rate]])</f>
        <v>115.78046473029048</v>
      </c>
    </row>
    <row r="39" spans="2:28" x14ac:dyDescent="0.15">
      <c r="B39">
        <v>2013</v>
      </c>
      <c r="C39" t="s">
        <v>56</v>
      </c>
      <c r="D39">
        <v>0</v>
      </c>
      <c r="E39">
        <v>0</v>
      </c>
      <c r="G39">
        <v>2016</v>
      </c>
      <c r="H39" t="s">
        <v>56</v>
      </c>
      <c r="I39">
        <v>0</v>
      </c>
      <c r="J39">
        <v>0</v>
      </c>
      <c r="L39">
        <v>2017</v>
      </c>
      <c r="M39" t="s">
        <v>56</v>
      </c>
      <c r="N39">
        <v>0</v>
      </c>
      <c r="O39">
        <v>0</v>
      </c>
      <c r="Q39">
        <v>2019</v>
      </c>
      <c r="R39" t="s">
        <v>56</v>
      </c>
      <c r="S39">
        <v>0</v>
      </c>
      <c r="T39">
        <v>0</v>
      </c>
      <c r="V39" t="s">
        <v>56</v>
      </c>
      <c r="W39">
        <f t="shared" si="0"/>
        <v>0</v>
      </c>
      <c r="X39" s="13">
        <f t="shared" si="1"/>
        <v>0</v>
      </c>
      <c r="Y39" s="15">
        <f>SUM(Table73[[#This Row],[MILES6]]/Z43)</f>
        <v>0</v>
      </c>
      <c r="Z39" s="19">
        <f>SUM(Table73[[#This Row],[Tax Paid Fuel (Gallons)]]-Table73[[#This Row],[Taxable Fuel (Gallons)]])</f>
        <v>0</v>
      </c>
      <c r="AA39" s="12">
        <v>0.318</v>
      </c>
      <c r="AB39" s="14">
        <f>SUM(Table73[[#This Row],[Net Taxable Fuel (Gallons)]]*Table73[[#This Row],[Tax Rate]])</f>
        <v>0</v>
      </c>
    </row>
    <row r="40" spans="2:28" x14ac:dyDescent="0.15">
      <c r="B40">
        <v>2013</v>
      </c>
      <c r="C40" t="s">
        <v>8</v>
      </c>
      <c r="D40">
        <v>1905</v>
      </c>
      <c r="E40">
        <v>0</v>
      </c>
      <c r="G40">
        <v>2016</v>
      </c>
      <c r="H40" t="s">
        <v>8</v>
      </c>
      <c r="I40">
        <v>738</v>
      </c>
      <c r="J40">
        <v>0</v>
      </c>
      <c r="L40">
        <v>2017</v>
      </c>
      <c r="M40" t="s">
        <v>8</v>
      </c>
      <c r="N40">
        <v>166</v>
      </c>
      <c r="O40">
        <v>0</v>
      </c>
      <c r="Q40">
        <v>2019</v>
      </c>
      <c r="R40" t="s">
        <v>8</v>
      </c>
      <c r="S40">
        <v>655</v>
      </c>
      <c r="T40">
        <v>0</v>
      </c>
      <c r="V40" t="s">
        <v>8</v>
      </c>
      <c r="W40">
        <f t="shared" si="0"/>
        <v>3464</v>
      </c>
      <c r="X40" s="13">
        <f t="shared" si="1"/>
        <v>0</v>
      </c>
      <c r="Y40" s="15">
        <f>SUM(Table73[[#This Row],[MILES6]]/Z43)</f>
        <v>506.83376838928706</v>
      </c>
      <c r="Z40" s="19">
        <f>SUM(Table73[[#This Row],[Tax Paid Fuel (Gallons)]]-Table73[[#This Row],[Taxable Fuel (Gallons)]])</f>
        <v>-506.83376838928706</v>
      </c>
      <c r="AA40" s="12">
        <v>0.495</v>
      </c>
      <c r="AB40" s="14">
        <f>SUM(Table73[[#This Row],[Net Taxable Fuel (Gallons)]]*Table73[[#This Row],[Tax Rate]])</f>
        <v>-250.88271535269709</v>
      </c>
    </row>
    <row r="41" spans="2:28" x14ac:dyDescent="0.15">
      <c r="B41">
        <v>2013</v>
      </c>
      <c r="C41" t="s">
        <v>18</v>
      </c>
      <c r="D41">
        <v>1257</v>
      </c>
      <c r="E41">
        <v>508</v>
      </c>
      <c r="G41">
        <v>2016</v>
      </c>
      <c r="H41" t="s">
        <v>18</v>
      </c>
      <c r="I41">
        <v>889</v>
      </c>
      <c r="J41">
        <v>218</v>
      </c>
      <c r="L41">
        <v>2017</v>
      </c>
      <c r="M41" t="s">
        <v>18</v>
      </c>
      <c r="N41">
        <v>772</v>
      </c>
      <c r="O41">
        <v>137</v>
      </c>
      <c r="Q41">
        <v>2019</v>
      </c>
      <c r="R41" t="s">
        <v>18</v>
      </c>
      <c r="S41">
        <v>1281</v>
      </c>
      <c r="T41">
        <v>449</v>
      </c>
      <c r="V41" t="s">
        <v>18</v>
      </c>
      <c r="W41">
        <f t="shared" si="0"/>
        <v>4199</v>
      </c>
      <c r="X41" s="13">
        <f t="shared" si="1"/>
        <v>1312</v>
      </c>
      <c r="Y41" s="15">
        <f>SUM(Z77)</f>
        <v>0</v>
      </c>
      <c r="Z41" s="19">
        <f>SUM(Table73[[#This Row],[Tax Paid Fuel (Gallons)]]-Table73[[#This Row],[Taxable Fuel (Gallons)]])</f>
        <v>1312</v>
      </c>
      <c r="AA41" s="12">
        <v>0.24</v>
      </c>
      <c r="AB41" s="14">
        <f>SUM(Table73[[#This Row],[Net Taxable Fuel (Gallons)]]*Table73[[#This Row],[Tax Rate]])</f>
        <v>314.88</v>
      </c>
    </row>
    <row r="42" spans="2:28" x14ac:dyDescent="0.15">
      <c r="B42">
        <v>2013</v>
      </c>
      <c r="C42" s="7" t="s">
        <v>58</v>
      </c>
      <c r="D42">
        <v>452</v>
      </c>
      <c r="E42">
        <v>162</v>
      </c>
      <c r="G42">
        <v>2016</v>
      </c>
      <c r="H42" s="7" t="s">
        <v>58</v>
      </c>
      <c r="J42">
        <v>0</v>
      </c>
      <c r="L42">
        <v>2017</v>
      </c>
      <c r="M42" s="7" t="s">
        <v>58</v>
      </c>
      <c r="N42">
        <v>0</v>
      </c>
      <c r="Q42">
        <v>2019</v>
      </c>
      <c r="R42" s="7" t="s">
        <v>58</v>
      </c>
      <c r="S42">
        <v>0</v>
      </c>
      <c r="T42">
        <v>0</v>
      </c>
      <c r="V42" s="7" t="s">
        <v>58</v>
      </c>
      <c r="W42">
        <f t="shared" si="0"/>
        <v>452</v>
      </c>
      <c r="X42" s="13">
        <f t="shared" si="1"/>
        <v>162</v>
      </c>
      <c r="Y42" s="15">
        <f>SUM(Table73[[#This Row],[MILES6]]/Z43)</f>
        <v>66.134198415692182</v>
      </c>
      <c r="Z42" s="19">
        <f>SUM(Table73[[#This Row],[Tax Paid Fuel (Gallons)]]-Table73[[#This Row],[Taxable Fuel (Gallons)]])</f>
        <v>95.865801584307818</v>
      </c>
      <c r="AA42" s="12">
        <v>0.32900000000000001</v>
      </c>
      <c r="AB42" s="14">
        <f>SUM(Table73[[#This Row],[Net Taxable Fuel (Gallons)]]*Table73[[#This Row],[Tax Rate]])</f>
        <v>31.539848721237274</v>
      </c>
    </row>
    <row r="43" spans="2:28" x14ac:dyDescent="0.15">
      <c r="B43">
        <v>2013</v>
      </c>
      <c r="C43" t="s">
        <v>9</v>
      </c>
      <c r="D43">
        <f>SUM(D7:D42)</f>
        <v>30402</v>
      </c>
      <c r="E43">
        <f>SUM(E7:E42)</f>
        <v>4665</v>
      </c>
      <c r="F43">
        <f>SUM(D43/E43)</f>
        <v>6.5170418006430868</v>
      </c>
      <c r="G43">
        <v>2016</v>
      </c>
      <c r="H43" t="s">
        <v>9</v>
      </c>
      <c r="I43">
        <f>SUM(I7:I42)</f>
        <v>33398</v>
      </c>
      <c r="J43">
        <f>SUM(J7:J42)</f>
        <v>4827</v>
      </c>
      <c r="K43">
        <f>SUM(I43/J43)</f>
        <v>6.9189973068158279</v>
      </c>
      <c r="L43">
        <v>2017</v>
      </c>
      <c r="M43" t="s">
        <v>9</v>
      </c>
      <c r="N43">
        <f>SUM(N7:N42)</f>
        <v>32633</v>
      </c>
      <c r="O43">
        <f>SUM(O7:O42)</f>
        <v>4484</v>
      </c>
      <c r="P43">
        <f>SUM(N43/O43)</f>
        <v>7.2776538804638715</v>
      </c>
      <c r="Q43">
        <v>2019</v>
      </c>
      <c r="R43" t="s">
        <v>9</v>
      </c>
      <c r="S43">
        <f>SUM(S7:S42)</f>
        <v>36117</v>
      </c>
      <c r="T43">
        <f>SUM(T7:T42)</f>
        <v>5418</v>
      </c>
      <c r="U43">
        <f>SUM(S43/T43)</f>
        <v>6.6661129568106317</v>
      </c>
      <c r="V43" t="s">
        <v>9</v>
      </c>
      <c r="W43">
        <f t="shared" si="0"/>
        <v>132550</v>
      </c>
      <c r="X43" s="13">
        <f t="shared" si="1"/>
        <v>19394</v>
      </c>
      <c r="Y43" s="15">
        <f t="shared" ref="Y43:Y50" si="2">SUM(Z79)</f>
        <v>0</v>
      </c>
      <c r="Z43" s="17">
        <f>SUM(W43/X43)</f>
        <v>6.8345880169124476</v>
      </c>
      <c r="AB43" s="12">
        <f>SUM(Table73[[#This Row],[Net Taxable Fuel (Gallons)]]*Table73[[#This Row],[Tax Rate]])</f>
        <v>0</v>
      </c>
    </row>
    <row r="44" spans="2:28" x14ac:dyDescent="0.15">
      <c r="F44" t="s">
        <v>39</v>
      </c>
      <c r="K44" t="s">
        <v>39</v>
      </c>
      <c r="P44" t="s">
        <v>39</v>
      </c>
      <c r="U44" t="s">
        <v>39</v>
      </c>
      <c r="X44" s="13"/>
      <c r="Y44">
        <f t="shared" si="2"/>
        <v>0</v>
      </c>
      <c r="Z44" s="13" t="s">
        <v>39</v>
      </c>
      <c r="AB44" s="12"/>
    </row>
    <row r="45" spans="2:28" ht="24" x14ac:dyDescent="0.15">
      <c r="B45" s="2">
        <v>422</v>
      </c>
      <c r="G45" s="8">
        <v>682.44</v>
      </c>
      <c r="K45" s="3" t="s">
        <v>57</v>
      </c>
      <c r="L45" s="9">
        <v>348.58</v>
      </c>
      <c r="Q45" s="2">
        <v>916.93</v>
      </c>
      <c r="W45">
        <f t="shared" ref="W45:X50" si="3">SUM(D45,I45,N45,S45)</f>
        <v>0</v>
      </c>
      <c r="X45" s="13">
        <f t="shared" si="3"/>
        <v>0</v>
      </c>
      <c r="Y45">
        <f t="shared" si="2"/>
        <v>0</v>
      </c>
      <c r="Z45" s="18">
        <f>SUM(Table73[[#This Row],[2013]],Table73[[#This Row],[2016]],Table73[[#This Row],[2017]],Table73[[#This Row],[2019]])</f>
        <v>2369.9499999999998</v>
      </c>
      <c r="AA45" s="10"/>
      <c r="AB45" s="20">
        <f>SUM(AB7:AB42)</f>
        <v>-2220.0769783553374</v>
      </c>
    </row>
    <row r="46" spans="2:28" x14ac:dyDescent="0.15">
      <c r="G46" s="3"/>
      <c r="W46">
        <f t="shared" si="3"/>
        <v>0</v>
      </c>
      <c r="X46" s="13">
        <f t="shared" si="3"/>
        <v>0</v>
      </c>
      <c r="Y46">
        <f t="shared" si="2"/>
        <v>0</v>
      </c>
      <c r="Z46" s="13"/>
      <c r="AB46" s="14"/>
    </row>
    <row r="47" spans="2:28" x14ac:dyDescent="0.15">
      <c r="B47" s="5" t="s">
        <v>26</v>
      </c>
      <c r="G47" t="s">
        <v>26</v>
      </c>
      <c r="L47" t="s">
        <v>26</v>
      </c>
      <c r="M47">
        <v>5.41</v>
      </c>
      <c r="Q47" t="s">
        <v>26</v>
      </c>
      <c r="R47">
        <v>7.89</v>
      </c>
      <c r="W47">
        <f t="shared" si="3"/>
        <v>0</v>
      </c>
      <c r="X47" s="13">
        <f t="shared" si="3"/>
        <v>0</v>
      </c>
      <c r="Y47">
        <f t="shared" si="2"/>
        <v>0</v>
      </c>
      <c r="Z47" s="13"/>
      <c r="AB47" s="14">
        <f>SUM(Table73[[#This Row],[Net Taxable Fuel (Gallons)]]*Table73[[#This Row],[Tax Rate]])</f>
        <v>0</v>
      </c>
    </row>
    <row r="48" spans="2:28" x14ac:dyDescent="0.15">
      <c r="B48" s="6" t="s">
        <v>14</v>
      </c>
      <c r="C48">
        <v>37.61</v>
      </c>
      <c r="G48" s="7" t="s">
        <v>14</v>
      </c>
      <c r="H48" s="7">
        <v>58.75</v>
      </c>
      <c r="L48" t="s">
        <v>14</v>
      </c>
      <c r="M48">
        <v>87.95</v>
      </c>
      <c r="Q48" t="s">
        <v>14</v>
      </c>
      <c r="R48">
        <v>19.53</v>
      </c>
      <c r="W48">
        <f t="shared" si="3"/>
        <v>0</v>
      </c>
      <c r="X48" s="13">
        <f t="shared" si="3"/>
        <v>0</v>
      </c>
      <c r="Y48">
        <f t="shared" si="2"/>
        <v>0</v>
      </c>
      <c r="Z48" s="13"/>
      <c r="AB48" s="14">
        <f>SUM(Table73[[#This Row],[Net Taxable Fuel (Gallons)]]*Table73[[#This Row],[Tax Rate]])</f>
        <v>0</v>
      </c>
    </row>
    <row r="49" spans="2:28" x14ac:dyDescent="0.15">
      <c r="B49" s="21" t="s">
        <v>66</v>
      </c>
      <c r="G49" s="22" t="s">
        <v>66</v>
      </c>
      <c r="K49" s="6"/>
      <c r="L49" s="6" t="s">
        <v>66</v>
      </c>
      <c r="Q49" s="6" t="s">
        <v>66</v>
      </c>
      <c r="W49">
        <f t="shared" si="3"/>
        <v>0</v>
      </c>
      <c r="X49" s="13">
        <f t="shared" si="3"/>
        <v>0</v>
      </c>
      <c r="Y49">
        <f t="shared" si="2"/>
        <v>0</v>
      </c>
      <c r="Z49" s="13"/>
      <c r="AB49" s="14">
        <f>SUM(Table73[[#This Row],[Net Taxable Fuel (Gallons)]]*Table73[[#This Row],[Tax Rate]])</f>
        <v>0</v>
      </c>
    </row>
    <row r="50" spans="2:28" x14ac:dyDescent="0.15">
      <c r="B50" t="s">
        <v>65</v>
      </c>
      <c r="G50" t="s">
        <v>65</v>
      </c>
      <c r="L50" t="s">
        <v>65</v>
      </c>
      <c r="Q50" t="s">
        <v>65</v>
      </c>
      <c r="W50">
        <f t="shared" si="3"/>
        <v>0</v>
      </c>
      <c r="X50" s="13">
        <f t="shared" si="3"/>
        <v>0</v>
      </c>
      <c r="Y50">
        <f t="shared" si="2"/>
        <v>0</v>
      </c>
      <c r="Z50" s="13"/>
      <c r="AB50" s="14">
        <f>SUM(Table73[[#This Row],[Net Taxable Fuel (Gallons)]]*Table73[[#This Row],[Tax Rate]])</f>
        <v>0</v>
      </c>
    </row>
    <row r="52" spans="2:28" x14ac:dyDescent="0.15">
      <c r="T52">
        <v>36</v>
      </c>
    </row>
  </sheetData>
  <mergeCells count="1">
    <mergeCell ref="B1:AB5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BCB34-12CF-4070-900E-A8A6C43F57FE}">
  <dimension ref="A1:Z38"/>
  <sheetViews>
    <sheetView zoomScaleNormal="100" workbookViewId="0">
      <selection activeCell="O47" sqref="O47"/>
    </sheetView>
  </sheetViews>
  <sheetFormatPr defaultColWidth="8.76171875" defaultRowHeight="12.75" x14ac:dyDescent="0.15"/>
  <cols>
    <col min="1" max="1" width="12.26953125" customWidth="1"/>
    <col min="2" max="2" width="12.67578125" customWidth="1"/>
    <col min="3" max="3" width="22.7890625" customWidth="1"/>
    <col min="4" max="4" width="28.453125" customWidth="1"/>
    <col min="5" max="5" width="26.29296875" customWidth="1"/>
    <col min="6" max="8" width="12.67578125" customWidth="1"/>
    <col min="9" max="9" width="16.44921875" customWidth="1"/>
    <col min="10" max="10" width="15.1015625" customWidth="1"/>
    <col min="11" max="11" width="14.0234375" style="15" customWidth="1"/>
    <col min="12" max="14" width="13.484375" customWidth="1"/>
    <col min="15" max="15" width="16.44921875" customWidth="1"/>
    <col min="16" max="16" width="17.80078125" customWidth="1"/>
    <col min="17" max="17" width="16.85546875" customWidth="1"/>
    <col min="18" max="19" width="13.484375" customWidth="1"/>
    <col min="20" max="21" width="13.88671875" customWidth="1"/>
    <col min="22" max="23" width="14.5625" customWidth="1"/>
    <col min="24" max="26" width="13.88671875" customWidth="1"/>
  </cols>
  <sheetData>
    <row r="1" spans="1:26" x14ac:dyDescent="0.15">
      <c r="A1" s="26" t="s">
        <v>71</v>
      </c>
      <c r="B1" s="24" t="s">
        <v>36</v>
      </c>
      <c r="C1" t="s">
        <v>68</v>
      </c>
      <c r="D1" t="s">
        <v>70</v>
      </c>
      <c r="E1" t="s">
        <v>69</v>
      </c>
      <c r="F1" t="s">
        <v>9</v>
      </c>
      <c r="G1" s="24" t="s">
        <v>72</v>
      </c>
      <c r="H1" s="24" t="s">
        <v>40</v>
      </c>
      <c r="I1" t="s">
        <v>74</v>
      </c>
      <c r="J1" t="s">
        <v>75</v>
      </c>
      <c r="K1" s="15" t="s">
        <v>76</v>
      </c>
      <c r="L1" t="s">
        <v>77</v>
      </c>
      <c r="M1" s="24" t="s">
        <v>79</v>
      </c>
      <c r="N1" s="24" t="s">
        <v>44</v>
      </c>
      <c r="O1" t="s">
        <v>78</v>
      </c>
      <c r="P1" t="s">
        <v>80</v>
      </c>
      <c r="Q1" t="s">
        <v>81</v>
      </c>
      <c r="R1" t="s">
        <v>82</v>
      </c>
      <c r="S1" s="24" t="s">
        <v>83</v>
      </c>
      <c r="T1" s="24" t="s">
        <v>48</v>
      </c>
      <c r="U1" t="s">
        <v>73</v>
      </c>
      <c r="V1" t="s">
        <v>84</v>
      </c>
      <c r="W1" t="s">
        <v>85</v>
      </c>
      <c r="X1" t="s">
        <v>86</v>
      </c>
      <c r="Y1" s="24" t="s">
        <v>52</v>
      </c>
      <c r="Z1" t="s">
        <v>87</v>
      </c>
    </row>
    <row r="2" spans="1:26" x14ac:dyDescent="0.15">
      <c r="A2" s="26">
        <v>2019</v>
      </c>
      <c r="B2" s="24" t="s">
        <v>20</v>
      </c>
      <c r="C2">
        <v>61</v>
      </c>
      <c r="D2">
        <v>0</v>
      </c>
      <c r="F2">
        <f t="shared" ref="F2:F38" si="0">SUM(C2,D2,E2)</f>
        <v>61</v>
      </c>
      <c r="G2" s="24">
        <v>2017</v>
      </c>
      <c r="H2" s="24" t="s">
        <v>20</v>
      </c>
      <c r="J2">
        <v>101</v>
      </c>
      <c r="L2">
        <f>SUM(Table1[[#This Row],[TA GALLONS2]:[EDS GALLONS2]])</f>
        <v>101</v>
      </c>
      <c r="M2" s="24">
        <v>2016</v>
      </c>
      <c r="N2" s="24" t="s">
        <v>20</v>
      </c>
      <c r="P2">
        <v>0</v>
      </c>
      <c r="R2">
        <f>SUM(Table1[[#This Row],[TA GALLONS3]:[EDS GALLONS3]])</f>
        <v>0</v>
      </c>
      <c r="S2" s="24">
        <v>2013</v>
      </c>
      <c r="T2" s="24" t="s">
        <v>20</v>
      </c>
      <c r="U2">
        <v>0</v>
      </c>
      <c r="V2">
        <v>0</v>
      </c>
      <c r="X2">
        <f>SUM(Table1[[#This Row],[TA GALLONS4]:[EDS GALLONS4]])</f>
        <v>0</v>
      </c>
      <c r="Y2" s="24" t="s">
        <v>20</v>
      </c>
      <c r="Z2">
        <f t="shared" ref="Z2:Z38" si="1">SUM(F2,L2,R2,X2)</f>
        <v>162</v>
      </c>
    </row>
    <row r="3" spans="1:26" x14ac:dyDescent="0.15">
      <c r="A3" s="27">
        <v>2019</v>
      </c>
      <c r="B3" s="25" t="s">
        <v>21</v>
      </c>
      <c r="C3">
        <v>61</v>
      </c>
      <c r="D3">
        <v>0</v>
      </c>
      <c r="F3">
        <f t="shared" si="0"/>
        <v>61</v>
      </c>
      <c r="G3" s="25">
        <v>2017</v>
      </c>
      <c r="H3" s="25" t="s">
        <v>21</v>
      </c>
      <c r="J3">
        <v>0</v>
      </c>
      <c r="L3">
        <f>SUM(Table1[[#This Row],[TA GALLONS2]:[EDS GALLONS2]])</f>
        <v>0</v>
      </c>
      <c r="M3" s="25">
        <v>2016</v>
      </c>
      <c r="N3" s="25" t="s">
        <v>21</v>
      </c>
      <c r="P3">
        <v>0</v>
      </c>
      <c r="R3">
        <f>SUM(Table1[[#This Row],[TA GALLONS3]:[EDS GALLONS3]])</f>
        <v>0</v>
      </c>
      <c r="S3" s="25">
        <v>2013</v>
      </c>
      <c r="T3" s="25" t="s">
        <v>21</v>
      </c>
      <c r="U3">
        <v>0</v>
      </c>
      <c r="V3">
        <v>130</v>
      </c>
      <c r="X3">
        <f>SUM(Table1[[#This Row],[TA GALLONS4]:[EDS GALLONS4]])</f>
        <v>130</v>
      </c>
      <c r="Y3" s="25" t="s">
        <v>21</v>
      </c>
      <c r="Z3">
        <f t="shared" si="1"/>
        <v>191</v>
      </c>
    </row>
    <row r="4" spans="1:26" x14ac:dyDescent="0.15">
      <c r="A4" s="26">
        <v>2019</v>
      </c>
      <c r="B4" s="24" t="s">
        <v>1</v>
      </c>
      <c r="C4">
        <v>418</v>
      </c>
      <c r="D4">
        <v>791</v>
      </c>
      <c r="F4">
        <f t="shared" si="0"/>
        <v>1209</v>
      </c>
      <c r="G4" s="24">
        <v>2017</v>
      </c>
      <c r="H4" s="24" t="s">
        <v>1</v>
      </c>
      <c r="J4">
        <v>1325</v>
      </c>
      <c r="K4" s="15">
        <v>92</v>
      </c>
      <c r="L4">
        <f>SUM(Table1[[#This Row],[TA GALLONS2]:[EDS GALLONS2]])</f>
        <v>1417</v>
      </c>
      <c r="M4" s="24">
        <v>2016</v>
      </c>
      <c r="N4" s="24" t="s">
        <v>1</v>
      </c>
      <c r="P4">
        <v>1093</v>
      </c>
      <c r="R4">
        <f>SUM(Table1[[#This Row],[TA GALLONS3]:[EDS GALLONS3]])</f>
        <v>1093</v>
      </c>
      <c r="S4" s="24">
        <v>2013</v>
      </c>
      <c r="T4" s="24" t="s">
        <v>1</v>
      </c>
      <c r="U4">
        <v>0</v>
      </c>
      <c r="V4">
        <v>100</v>
      </c>
      <c r="X4">
        <f>SUM(Table1[[#This Row],[TA GALLONS4]:[EDS GALLONS4]])</f>
        <v>100</v>
      </c>
      <c r="Y4" s="24" t="s">
        <v>1</v>
      </c>
      <c r="Z4">
        <f t="shared" si="1"/>
        <v>3819</v>
      </c>
    </row>
    <row r="5" spans="1:26" x14ac:dyDescent="0.15">
      <c r="A5" s="27">
        <v>2019</v>
      </c>
      <c r="B5" s="25" t="s">
        <v>2</v>
      </c>
      <c r="C5">
        <v>319</v>
      </c>
      <c r="D5">
        <v>0</v>
      </c>
      <c r="F5">
        <f t="shared" si="0"/>
        <v>319</v>
      </c>
      <c r="G5" s="25">
        <v>2017</v>
      </c>
      <c r="H5" s="25" t="s">
        <v>2</v>
      </c>
      <c r="J5">
        <v>403</v>
      </c>
      <c r="K5" s="15">
        <v>111</v>
      </c>
      <c r="L5">
        <f>SUM(Table1[[#This Row],[TA GALLONS2]:[EDS GALLONS2]])</f>
        <v>514</v>
      </c>
      <c r="M5" s="25">
        <v>2016</v>
      </c>
      <c r="N5" s="25" t="s">
        <v>2</v>
      </c>
      <c r="P5">
        <v>557</v>
      </c>
      <c r="Q5">
        <v>49</v>
      </c>
      <c r="R5">
        <f>SUM(Table1[[#This Row],[TA GALLONS3]:[EDS GALLONS3]])</f>
        <v>606</v>
      </c>
      <c r="S5" s="25">
        <v>2013</v>
      </c>
      <c r="T5" s="25" t="s">
        <v>2</v>
      </c>
      <c r="U5">
        <v>151</v>
      </c>
      <c r="V5">
        <v>73</v>
      </c>
      <c r="X5">
        <f>SUM(Table1[[#This Row],[TA GALLONS4]:[EDS GALLONS4]])</f>
        <v>224</v>
      </c>
      <c r="Y5" s="25" t="s">
        <v>2</v>
      </c>
      <c r="Z5">
        <f t="shared" si="1"/>
        <v>1663</v>
      </c>
    </row>
    <row r="6" spans="1:26" x14ac:dyDescent="0.15">
      <c r="A6" s="26">
        <v>2019</v>
      </c>
      <c r="B6" s="24" t="s">
        <v>11</v>
      </c>
      <c r="C6">
        <v>0</v>
      </c>
      <c r="D6">
        <v>0</v>
      </c>
      <c r="F6">
        <f t="shared" si="0"/>
        <v>0</v>
      </c>
      <c r="G6" s="24">
        <v>2017</v>
      </c>
      <c r="H6" s="24" t="s">
        <v>11</v>
      </c>
      <c r="J6">
        <v>0</v>
      </c>
      <c r="L6">
        <f>SUM(Table1[[#This Row],[TA GALLONS2]:[EDS GALLONS2]])</f>
        <v>0</v>
      </c>
      <c r="M6" s="24">
        <v>2016</v>
      </c>
      <c r="N6" s="24" t="s">
        <v>11</v>
      </c>
      <c r="P6">
        <v>0</v>
      </c>
      <c r="R6">
        <f>SUM(Table1[[#This Row],[TA GALLONS3]:[EDS GALLONS3]])</f>
        <v>0</v>
      </c>
      <c r="S6" s="24">
        <v>2013</v>
      </c>
      <c r="T6" s="24" t="s">
        <v>11</v>
      </c>
      <c r="U6">
        <v>0</v>
      </c>
      <c r="V6">
        <v>0</v>
      </c>
      <c r="X6">
        <f>SUM(Table1[[#This Row],[TA GALLONS4]:[EDS GALLONS4]])</f>
        <v>0</v>
      </c>
      <c r="Y6" s="24" t="s">
        <v>11</v>
      </c>
      <c r="Z6">
        <f t="shared" si="1"/>
        <v>0</v>
      </c>
    </row>
    <row r="7" spans="1:26" x14ac:dyDescent="0.15">
      <c r="A7" s="27">
        <v>2019</v>
      </c>
      <c r="B7" s="23" t="s">
        <v>59</v>
      </c>
      <c r="C7">
        <v>0</v>
      </c>
      <c r="D7">
        <v>0</v>
      </c>
      <c r="F7">
        <f t="shared" si="0"/>
        <v>0</v>
      </c>
      <c r="G7" s="25">
        <v>2017</v>
      </c>
      <c r="H7" s="23" t="s">
        <v>59</v>
      </c>
      <c r="J7">
        <v>0</v>
      </c>
      <c r="L7">
        <f>SUM(Table1[[#This Row],[TA GALLONS2]:[EDS GALLONS2]])</f>
        <v>0</v>
      </c>
      <c r="M7" s="25">
        <v>2016</v>
      </c>
      <c r="N7" s="23" t="s">
        <v>59</v>
      </c>
      <c r="P7">
        <v>0</v>
      </c>
      <c r="R7">
        <f>SUM(Table1[[#This Row],[TA GALLONS3]:[EDS GALLONS3]])</f>
        <v>0</v>
      </c>
      <c r="S7" s="25">
        <v>2013</v>
      </c>
      <c r="T7" s="23" t="s">
        <v>59</v>
      </c>
      <c r="U7">
        <v>0</v>
      </c>
      <c r="V7">
        <v>0</v>
      </c>
      <c r="X7">
        <f>SUM(Table1[[#This Row],[TA GALLONS4]:[EDS GALLONS4]])</f>
        <v>0</v>
      </c>
      <c r="Y7" s="23" t="s">
        <v>59</v>
      </c>
      <c r="Z7">
        <f t="shared" si="1"/>
        <v>0</v>
      </c>
    </row>
    <row r="8" spans="1:26" x14ac:dyDescent="0.15">
      <c r="A8" s="26">
        <v>2019</v>
      </c>
      <c r="B8" s="24" t="s">
        <v>32</v>
      </c>
      <c r="C8">
        <v>61</v>
      </c>
      <c r="D8">
        <v>0</v>
      </c>
      <c r="F8">
        <f t="shared" si="0"/>
        <v>61</v>
      </c>
      <c r="G8" s="24">
        <v>2017</v>
      </c>
      <c r="H8" s="24" t="s">
        <v>32</v>
      </c>
      <c r="J8">
        <v>0</v>
      </c>
      <c r="L8">
        <f>SUM(Table1[[#This Row],[TA GALLONS2]:[EDS GALLONS2]])</f>
        <v>0</v>
      </c>
      <c r="M8" s="24">
        <v>2016</v>
      </c>
      <c r="N8" s="24" t="s">
        <v>32</v>
      </c>
      <c r="P8">
        <v>0</v>
      </c>
      <c r="R8">
        <f>SUM(Table1[[#This Row],[TA GALLONS3]:[EDS GALLONS3]])</f>
        <v>0</v>
      </c>
      <c r="S8" s="24">
        <v>2013</v>
      </c>
      <c r="T8" s="24" t="s">
        <v>32</v>
      </c>
      <c r="U8">
        <v>0</v>
      </c>
      <c r="V8">
        <v>0</v>
      </c>
      <c r="X8">
        <f>SUM(Table1[[#This Row],[TA GALLONS4]:[EDS GALLONS4]])</f>
        <v>0</v>
      </c>
      <c r="Y8" s="24" t="s">
        <v>32</v>
      </c>
      <c r="Z8">
        <f t="shared" si="1"/>
        <v>61</v>
      </c>
    </row>
    <row r="9" spans="1:26" x14ac:dyDescent="0.15">
      <c r="A9" s="27">
        <v>2019</v>
      </c>
      <c r="B9" s="25" t="s">
        <v>22</v>
      </c>
      <c r="C9">
        <v>0</v>
      </c>
      <c r="D9">
        <v>0</v>
      </c>
      <c r="F9">
        <f t="shared" si="0"/>
        <v>0</v>
      </c>
      <c r="G9" s="25">
        <v>2017</v>
      </c>
      <c r="H9" s="25" t="s">
        <v>22</v>
      </c>
      <c r="J9">
        <v>0</v>
      </c>
      <c r="L9">
        <f>SUM(Table1[[#This Row],[TA GALLONS2]:[EDS GALLONS2]])</f>
        <v>0</v>
      </c>
      <c r="M9" s="25">
        <v>2016</v>
      </c>
      <c r="N9" s="25" t="s">
        <v>22</v>
      </c>
      <c r="P9">
        <v>0</v>
      </c>
      <c r="R9">
        <f>SUM(Table1[[#This Row],[TA GALLONS3]:[EDS GALLONS3]])</f>
        <v>0</v>
      </c>
      <c r="S9" s="25">
        <v>2013</v>
      </c>
      <c r="T9" s="25" t="s">
        <v>22</v>
      </c>
      <c r="U9">
        <v>179</v>
      </c>
      <c r="V9">
        <v>184</v>
      </c>
      <c r="X9">
        <f>SUM(Table1[[#This Row],[TA GALLONS4]:[EDS GALLONS4]])</f>
        <v>363</v>
      </c>
      <c r="Y9" s="25" t="s">
        <v>22</v>
      </c>
      <c r="Z9">
        <f t="shared" si="1"/>
        <v>363</v>
      </c>
    </row>
    <row r="10" spans="1:26" x14ac:dyDescent="0.15">
      <c r="A10" s="26">
        <v>2019</v>
      </c>
      <c r="B10" s="24" t="s">
        <v>3</v>
      </c>
      <c r="C10">
        <v>163</v>
      </c>
      <c r="D10">
        <v>0</v>
      </c>
      <c r="F10">
        <f t="shared" si="0"/>
        <v>163</v>
      </c>
      <c r="G10" s="24">
        <v>2017</v>
      </c>
      <c r="H10" s="24" t="s">
        <v>3</v>
      </c>
      <c r="J10">
        <v>0</v>
      </c>
      <c r="L10">
        <f>SUM(Table1[[#This Row],[TA GALLONS2]:[EDS GALLONS2]])</f>
        <v>0</v>
      </c>
      <c r="M10" s="24">
        <v>2016</v>
      </c>
      <c r="N10" s="24" t="s">
        <v>3</v>
      </c>
      <c r="P10">
        <v>0</v>
      </c>
      <c r="R10">
        <f>SUM(Table1[[#This Row],[TA GALLONS3]:[EDS GALLONS3]])</f>
        <v>0</v>
      </c>
      <c r="S10" s="24">
        <v>2013</v>
      </c>
      <c r="T10" s="24" t="s">
        <v>3</v>
      </c>
      <c r="U10">
        <v>491</v>
      </c>
      <c r="V10">
        <v>223</v>
      </c>
      <c r="X10">
        <f>SUM(Table1[[#This Row],[TA GALLONS4]:[EDS GALLONS4]])</f>
        <v>714</v>
      </c>
      <c r="Y10" s="24" t="s">
        <v>3</v>
      </c>
      <c r="Z10">
        <f t="shared" si="1"/>
        <v>877</v>
      </c>
    </row>
    <row r="11" spans="1:26" x14ac:dyDescent="0.15">
      <c r="A11" s="27">
        <v>2019</v>
      </c>
      <c r="B11" s="25" t="s">
        <v>23</v>
      </c>
      <c r="C11">
        <v>0</v>
      </c>
      <c r="D11">
        <v>0</v>
      </c>
      <c r="F11">
        <f t="shared" si="0"/>
        <v>0</v>
      </c>
      <c r="G11" s="25">
        <v>2017</v>
      </c>
      <c r="H11" s="25" t="s">
        <v>23</v>
      </c>
      <c r="J11">
        <v>0</v>
      </c>
      <c r="L11">
        <f>SUM(Table1[[#This Row],[TA GALLONS2]:[EDS GALLONS2]])</f>
        <v>0</v>
      </c>
      <c r="M11" s="25">
        <v>2016</v>
      </c>
      <c r="N11" s="25" t="s">
        <v>23</v>
      </c>
      <c r="P11">
        <v>0</v>
      </c>
      <c r="R11">
        <f>SUM(Table1[[#This Row],[TA GALLONS3]:[EDS GALLONS3]])</f>
        <v>0</v>
      </c>
      <c r="S11" s="25">
        <v>2013</v>
      </c>
      <c r="T11" s="25" t="s">
        <v>23</v>
      </c>
      <c r="U11">
        <v>0</v>
      </c>
      <c r="V11">
        <v>0</v>
      </c>
      <c r="X11">
        <f>SUM(Table1[[#This Row],[TA GALLONS4]:[EDS GALLONS4]])</f>
        <v>0</v>
      </c>
      <c r="Y11" s="25" t="s">
        <v>23</v>
      </c>
      <c r="Z11">
        <f t="shared" si="1"/>
        <v>0</v>
      </c>
    </row>
    <row r="12" spans="1:26" x14ac:dyDescent="0.15">
      <c r="A12" s="26">
        <v>2019</v>
      </c>
      <c r="B12" s="24" t="s">
        <v>24</v>
      </c>
      <c r="C12">
        <v>0</v>
      </c>
      <c r="D12">
        <v>0</v>
      </c>
      <c r="F12">
        <f t="shared" si="0"/>
        <v>0</v>
      </c>
      <c r="G12" s="24">
        <v>2017</v>
      </c>
      <c r="H12" s="24" t="s">
        <v>24</v>
      </c>
      <c r="J12">
        <v>0</v>
      </c>
      <c r="L12">
        <f>SUM(Table1[[#This Row],[TA GALLONS2]:[EDS GALLONS2]])</f>
        <v>0</v>
      </c>
      <c r="M12" s="24">
        <v>2016</v>
      </c>
      <c r="N12" s="24" t="s">
        <v>24</v>
      </c>
      <c r="P12">
        <v>0</v>
      </c>
      <c r="R12">
        <f>SUM(Table1[[#This Row],[TA GALLONS3]:[EDS GALLONS3]])</f>
        <v>0</v>
      </c>
      <c r="S12" s="24">
        <v>2013</v>
      </c>
      <c r="T12" s="24" t="s">
        <v>24</v>
      </c>
      <c r="U12">
        <v>0</v>
      </c>
      <c r="V12">
        <v>0</v>
      </c>
      <c r="X12">
        <f>SUM(Table1[[#This Row],[TA GALLONS4]:[EDS GALLONS4]])</f>
        <v>0</v>
      </c>
      <c r="Y12" s="24" t="s">
        <v>24</v>
      </c>
      <c r="Z12">
        <f t="shared" si="1"/>
        <v>0</v>
      </c>
    </row>
    <row r="13" spans="1:26" x14ac:dyDescent="0.15">
      <c r="A13" s="27">
        <v>2019</v>
      </c>
      <c r="B13" s="25" t="s">
        <v>25</v>
      </c>
      <c r="C13">
        <v>0</v>
      </c>
      <c r="D13">
        <v>0</v>
      </c>
      <c r="F13">
        <f t="shared" si="0"/>
        <v>0</v>
      </c>
      <c r="G13" s="25">
        <v>2017</v>
      </c>
      <c r="H13" s="25" t="s">
        <v>25</v>
      </c>
      <c r="J13">
        <v>121</v>
      </c>
      <c r="L13">
        <f>SUM(Table1[[#This Row],[TA GALLONS2]:[EDS GALLONS2]])</f>
        <v>121</v>
      </c>
      <c r="M13" s="25">
        <v>2016</v>
      </c>
      <c r="N13" s="25" t="s">
        <v>25</v>
      </c>
      <c r="P13">
        <v>0</v>
      </c>
      <c r="R13">
        <f>SUM(Table1[[#This Row],[TA GALLONS3]:[EDS GALLONS3]])</f>
        <v>0</v>
      </c>
      <c r="S13" s="25">
        <v>2013</v>
      </c>
      <c r="T13" s="25" t="s">
        <v>25</v>
      </c>
      <c r="U13">
        <v>0</v>
      </c>
      <c r="V13">
        <v>68</v>
      </c>
      <c r="X13">
        <f>SUM(Table1[[#This Row],[TA GALLONS4]:[EDS GALLONS4]])</f>
        <v>68</v>
      </c>
      <c r="Y13" s="25" t="s">
        <v>25</v>
      </c>
      <c r="Z13">
        <f t="shared" si="1"/>
        <v>189</v>
      </c>
    </row>
    <row r="14" spans="1:26" x14ac:dyDescent="0.15">
      <c r="A14" s="26">
        <v>2019</v>
      </c>
      <c r="B14" s="24" t="s">
        <v>26</v>
      </c>
      <c r="C14">
        <v>0</v>
      </c>
      <c r="D14">
        <v>0</v>
      </c>
      <c r="F14">
        <f t="shared" si="0"/>
        <v>0</v>
      </c>
      <c r="G14" s="24">
        <v>2017</v>
      </c>
      <c r="H14" s="24" t="s">
        <v>26</v>
      </c>
      <c r="J14">
        <v>143</v>
      </c>
      <c r="L14">
        <f>SUM(Table1[[#This Row],[TA GALLONS2]:[EDS GALLONS2]])</f>
        <v>143</v>
      </c>
      <c r="M14" s="24">
        <v>2016</v>
      </c>
      <c r="N14" s="24" t="s">
        <v>26</v>
      </c>
      <c r="P14">
        <v>0</v>
      </c>
      <c r="R14">
        <f>SUM(Table1[[#This Row],[TA GALLONS3]:[EDS GALLONS3]])</f>
        <v>0</v>
      </c>
      <c r="S14" s="24">
        <v>2013</v>
      </c>
      <c r="T14" s="24" t="s">
        <v>26</v>
      </c>
      <c r="U14">
        <v>0</v>
      </c>
      <c r="V14">
        <v>0</v>
      </c>
      <c r="X14">
        <f>SUM(Table1[[#This Row],[TA GALLONS4]:[EDS GALLONS4]])</f>
        <v>0</v>
      </c>
      <c r="Y14" s="24" t="s">
        <v>26</v>
      </c>
      <c r="Z14">
        <f t="shared" si="1"/>
        <v>143</v>
      </c>
    </row>
    <row r="15" spans="1:26" x14ac:dyDescent="0.15">
      <c r="A15" s="27">
        <v>2019</v>
      </c>
      <c r="B15" s="25" t="s">
        <v>54</v>
      </c>
      <c r="C15">
        <v>0</v>
      </c>
      <c r="D15">
        <v>0</v>
      </c>
      <c r="F15">
        <f t="shared" si="0"/>
        <v>0</v>
      </c>
      <c r="G15" s="25">
        <v>2017</v>
      </c>
      <c r="H15" s="25" t="s">
        <v>54</v>
      </c>
      <c r="J15">
        <v>0</v>
      </c>
      <c r="L15">
        <f>SUM(Table1[[#This Row],[TA GALLONS2]:[EDS GALLONS2]])</f>
        <v>0</v>
      </c>
      <c r="M15" s="25">
        <v>2016</v>
      </c>
      <c r="N15" s="25" t="s">
        <v>54</v>
      </c>
      <c r="P15">
        <v>0</v>
      </c>
      <c r="R15">
        <f>SUM(Table1[[#This Row],[TA GALLONS3]:[EDS GALLONS3]])</f>
        <v>0</v>
      </c>
      <c r="S15" s="25">
        <v>2013</v>
      </c>
      <c r="T15" s="25" t="s">
        <v>54</v>
      </c>
      <c r="U15">
        <v>0</v>
      </c>
      <c r="V15">
        <v>0</v>
      </c>
      <c r="X15">
        <f>SUM(Table1[[#This Row],[TA GALLONS4]:[EDS GALLONS4]])</f>
        <v>0</v>
      </c>
      <c r="Y15" s="25" t="s">
        <v>54</v>
      </c>
      <c r="Z15">
        <f t="shared" si="1"/>
        <v>0</v>
      </c>
    </row>
    <row r="16" spans="1:26" x14ac:dyDescent="0.15">
      <c r="A16" s="26">
        <v>2019</v>
      </c>
      <c r="B16" s="24" t="s">
        <v>55</v>
      </c>
      <c r="C16">
        <v>0</v>
      </c>
      <c r="D16">
        <v>0</v>
      </c>
      <c r="F16">
        <f t="shared" si="0"/>
        <v>0</v>
      </c>
      <c r="G16" s="24">
        <v>2017</v>
      </c>
      <c r="H16" s="24" t="s">
        <v>55</v>
      </c>
      <c r="J16">
        <v>0</v>
      </c>
      <c r="L16">
        <f>SUM(Table1[[#This Row],[TA GALLONS2]:[EDS GALLONS2]])</f>
        <v>0</v>
      </c>
      <c r="M16" s="24">
        <v>2016</v>
      </c>
      <c r="N16" s="24" t="s">
        <v>55</v>
      </c>
      <c r="P16">
        <v>0</v>
      </c>
      <c r="R16">
        <f>SUM(Table1[[#This Row],[TA GALLONS3]:[EDS GALLONS3]])</f>
        <v>0</v>
      </c>
      <c r="S16" s="24">
        <v>2013</v>
      </c>
      <c r="T16" s="24" t="s">
        <v>55</v>
      </c>
      <c r="U16">
        <v>0</v>
      </c>
      <c r="V16">
        <v>0</v>
      </c>
      <c r="X16">
        <f>SUM(Table1[[#This Row],[TA GALLONS4]:[EDS GALLONS4]])</f>
        <v>0</v>
      </c>
      <c r="Y16" s="24" t="s">
        <v>55</v>
      </c>
      <c r="Z16">
        <f t="shared" si="1"/>
        <v>0</v>
      </c>
    </row>
    <row r="17" spans="1:26" x14ac:dyDescent="0.15">
      <c r="A17" s="27">
        <v>2019</v>
      </c>
      <c r="B17" s="23" t="s">
        <v>28</v>
      </c>
      <c r="C17">
        <v>0</v>
      </c>
      <c r="D17">
        <v>0</v>
      </c>
      <c r="F17">
        <f t="shared" si="0"/>
        <v>0</v>
      </c>
      <c r="G17" s="25">
        <v>2017</v>
      </c>
      <c r="H17" s="23" t="s">
        <v>28</v>
      </c>
      <c r="J17">
        <v>0</v>
      </c>
      <c r="L17">
        <f>SUM(Table1[[#This Row],[TA GALLONS2]:[EDS GALLONS2]])</f>
        <v>0</v>
      </c>
      <c r="M17" s="25">
        <v>2016</v>
      </c>
      <c r="N17" s="23" t="s">
        <v>28</v>
      </c>
      <c r="P17">
        <v>0</v>
      </c>
      <c r="R17">
        <f>SUM(Table1[[#This Row],[TA GALLONS3]:[EDS GALLONS3]])</f>
        <v>0</v>
      </c>
      <c r="S17" s="25">
        <v>2013</v>
      </c>
      <c r="T17" s="23" t="s">
        <v>28</v>
      </c>
      <c r="U17">
        <v>0</v>
      </c>
      <c r="V17">
        <v>0</v>
      </c>
      <c r="X17">
        <f>SUM(Table1[[#This Row],[TA GALLONS4]:[EDS GALLONS4]])</f>
        <v>0</v>
      </c>
      <c r="Y17" s="23" t="s">
        <v>28</v>
      </c>
      <c r="Z17">
        <f t="shared" si="1"/>
        <v>0</v>
      </c>
    </row>
    <row r="18" spans="1:26" x14ac:dyDescent="0.15">
      <c r="A18" s="26">
        <v>2019</v>
      </c>
      <c r="B18" s="24" t="s">
        <v>27</v>
      </c>
      <c r="C18">
        <v>205</v>
      </c>
      <c r="F18">
        <f t="shared" si="0"/>
        <v>205</v>
      </c>
      <c r="G18" s="24">
        <v>2017</v>
      </c>
      <c r="H18" s="24" t="s">
        <v>27</v>
      </c>
      <c r="J18">
        <v>90</v>
      </c>
      <c r="L18">
        <f>SUM(Table1[[#This Row],[TA GALLONS2]:[EDS GALLONS2]])</f>
        <v>90</v>
      </c>
      <c r="M18" s="24">
        <v>2016</v>
      </c>
      <c r="N18" s="24" t="s">
        <v>27</v>
      </c>
      <c r="P18">
        <v>0</v>
      </c>
      <c r="R18">
        <f>SUM(Table1[[#This Row],[TA GALLONS3]:[EDS GALLONS3]])</f>
        <v>0</v>
      </c>
      <c r="S18" s="24">
        <v>2013</v>
      </c>
      <c r="T18" s="24" t="s">
        <v>27</v>
      </c>
      <c r="U18">
        <v>0</v>
      </c>
      <c r="V18">
        <v>0</v>
      </c>
      <c r="X18">
        <f>SUM(Table1[[#This Row],[TA GALLONS4]:[EDS GALLONS4]])</f>
        <v>0</v>
      </c>
      <c r="Y18" s="24" t="s">
        <v>27</v>
      </c>
      <c r="Z18">
        <f t="shared" si="1"/>
        <v>295</v>
      </c>
    </row>
    <row r="19" spans="1:26" x14ac:dyDescent="0.15">
      <c r="A19" s="27">
        <v>2019</v>
      </c>
      <c r="B19" s="25" t="s">
        <v>4</v>
      </c>
      <c r="C19">
        <v>128</v>
      </c>
      <c r="D19">
        <v>0</v>
      </c>
      <c r="F19">
        <f t="shared" si="0"/>
        <v>128</v>
      </c>
      <c r="G19" s="25">
        <v>2017</v>
      </c>
      <c r="H19" s="25" t="s">
        <v>4</v>
      </c>
      <c r="J19">
        <v>0</v>
      </c>
      <c r="L19">
        <f>SUM(Table1[[#This Row],[TA GALLONS2]:[EDS GALLONS2]])</f>
        <v>0</v>
      </c>
      <c r="M19" s="25">
        <v>2016</v>
      </c>
      <c r="N19" s="25" t="s">
        <v>4</v>
      </c>
      <c r="P19">
        <v>0</v>
      </c>
      <c r="R19">
        <f>SUM(Table1[[#This Row],[TA GALLONS3]:[EDS GALLONS3]])</f>
        <v>0</v>
      </c>
      <c r="S19" s="25">
        <v>2013</v>
      </c>
      <c r="T19" s="25" t="s">
        <v>4</v>
      </c>
      <c r="U19">
        <v>90</v>
      </c>
      <c r="V19">
        <v>0</v>
      </c>
      <c r="X19">
        <f>SUM(Table1[[#This Row],[TA GALLONS4]:[EDS GALLONS4]])</f>
        <v>90</v>
      </c>
      <c r="Y19" s="25" t="s">
        <v>4</v>
      </c>
      <c r="Z19">
        <f t="shared" si="1"/>
        <v>218</v>
      </c>
    </row>
    <row r="20" spans="1:26" x14ac:dyDescent="0.15">
      <c r="A20" s="26">
        <v>2019</v>
      </c>
      <c r="B20" s="24"/>
      <c r="C20">
        <v>0</v>
      </c>
      <c r="D20">
        <v>0</v>
      </c>
      <c r="F20">
        <f t="shared" si="0"/>
        <v>0</v>
      </c>
      <c r="G20" s="24">
        <v>2017</v>
      </c>
      <c r="H20" s="24"/>
      <c r="J20">
        <v>0</v>
      </c>
      <c r="L20">
        <f>SUM(Table1[[#This Row],[TA GALLONS2]:[EDS GALLONS2]])</f>
        <v>0</v>
      </c>
      <c r="M20" s="24">
        <v>2016</v>
      </c>
      <c r="N20" s="24"/>
      <c r="P20">
        <v>0</v>
      </c>
      <c r="R20">
        <f>SUM(Table1[[#This Row],[TA GALLONS3]:[EDS GALLONS3]])</f>
        <v>0</v>
      </c>
      <c r="S20" s="24">
        <v>2013</v>
      </c>
      <c r="T20" s="24"/>
      <c r="U20">
        <v>0</v>
      </c>
      <c r="V20">
        <v>0</v>
      </c>
      <c r="X20">
        <f>SUM(Table1[[#This Row],[TA GALLONS4]:[EDS GALLONS4]])</f>
        <v>0</v>
      </c>
      <c r="Y20" s="24"/>
      <c r="Z20">
        <f t="shared" si="1"/>
        <v>0</v>
      </c>
    </row>
    <row r="21" spans="1:26" x14ac:dyDescent="0.15">
      <c r="A21" s="27">
        <v>2019</v>
      </c>
      <c r="B21" s="25" t="s">
        <v>33</v>
      </c>
      <c r="C21">
        <v>0</v>
      </c>
      <c r="D21">
        <v>0</v>
      </c>
      <c r="F21">
        <f t="shared" si="0"/>
        <v>0</v>
      </c>
      <c r="G21" s="25">
        <v>2017</v>
      </c>
      <c r="H21" s="25" t="s">
        <v>33</v>
      </c>
      <c r="J21">
        <v>0</v>
      </c>
      <c r="L21">
        <f>SUM(Table1[[#This Row],[TA GALLONS2]:[EDS GALLONS2]])</f>
        <v>0</v>
      </c>
      <c r="M21" s="25">
        <v>2016</v>
      </c>
      <c r="N21" s="25" t="s">
        <v>33</v>
      </c>
      <c r="P21">
        <v>0</v>
      </c>
      <c r="R21">
        <f>SUM(Table1[[#This Row],[TA GALLONS3]:[EDS GALLONS3]])</f>
        <v>0</v>
      </c>
      <c r="S21" s="25">
        <v>2013</v>
      </c>
      <c r="T21" s="25" t="s">
        <v>33</v>
      </c>
      <c r="U21">
        <v>0</v>
      </c>
      <c r="V21">
        <v>0</v>
      </c>
      <c r="X21">
        <f>SUM(Table1[[#This Row],[TA GALLONS4]:[EDS GALLONS4]])</f>
        <v>0</v>
      </c>
      <c r="Y21" s="25" t="s">
        <v>33</v>
      </c>
      <c r="Z21">
        <f t="shared" si="1"/>
        <v>0</v>
      </c>
    </row>
    <row r="22" spans="1:26" x14ac:dyDescent="0.15">
      <c r="A22" s="26">
        <v>2019</v>
      </c>
      <c r="B22" s="24" t="s">
        <v>13</v>
      </c>
      <c r="C22">
        <v>203</v>
      </c>
      <c r="D22">
        <v>0</v>
      </c>
      <c r="F22">
        <f t="shared" si="0"/>
        <v>203</v>
      </c>
      <c r="G22" s="24">
        <v>2017</v>
      </c>
      <c r="H22" s="24" t="s">
        <v>13</v>
      </c>
      <c r="J22">
        <v>145</v>
      </c>
      <c r="L22">
        <f>SUM(Table1[[#This Row],[TA GALLONS2]:[EDS GALLONS2]])</f>
        <v>145</v>
      </c>
      <c r="M22" s="24">
        <v>2016</v>
      </c>
      <c r="N22" s="24" t="s">
        <v>13</v>
      </c>
      <c r="P22">
        <v>224</v>
      </c>
      <c r="R22">
        <f>SUM(Table1[[#This Row],[TA GALLONS3]:[EDS GALLONS3]])</f>
        <v>224</v>
      </c>
      <c r="S22" s="24">
        <v>2013</v>
      </c>
      <c r="T22" s="24" t="s">
        <v>13</v>
      </c>
      <c r="U22">
        <v>206</v>
      </c>
      <c r="V22">
        <v>0</v>
      </c>
      <c r="X22">
        <f>SUM(Table1[[#This Row],[TA GALLONS4]:[EDS GALLONS4]])</f>
        <v>206</v>
      </c>
      <c r="Y22" s="24" t="s">
        <v>13</v>
      </c>
      <c r="Z22">
        <f t="shared" si="1"/>
        <v>778</v>
      </c>
    </row>
    <row r="23" spans="1:26" x14ac:dyDescent="0.15">
      <c r="A23" s="27">
        <v>2019</v>
      </c>
      <c r="B23" s="25" t="s">
        <v>14</v>
      </c>
      <c r="C23">
        <v>0</v>
      </c>
      <c r="D23">
        <v>0</v>
      </c>
      <c r="F23">
        <f t="shared" si="0"/>
        <v>0</v>
      </c>
      <c r="G23" s="25">
        <v>2017</v>
      </c>
      <c r="H23" s="25" t="s">
        <v>14</v>
      </c>
      <c r="J23">
        <v>379</v>
      </c>
      <c r="L23">
        <f>SUM(Table1[[#This Row],[TA GALLONS2]:[EDS GALLONS2]])</f>
        <v>379</v>
      </c>
      <c r="M23" s="25">
        <v>2016</v>
      </c>
      <c r="N23" s="25" t="s">
        <v>14</v>
      </c>
      <c r="P23">
        <v>201</v>
      </c>
      <c r="R23">
        <f>SUM(Table1[[#This Row],[TA GALLONS3]:[EDS GALLONS3]])</f>
        <v>201</v>
      </c>
      <c r="S23" s="25">
        <v>2013</v>
      </c>
      <c r="T23" s="25" t="s">
        <v>14</v>
      </c>
      <c r="U23">
        <v>110</v>
      </c>
      <c r="V23">
        <v>106</v>
      </c>
      <c r="X23">
        <f>SUM(Table1[[#This Row],[TA GALLONS4]:[EDS GALLONS4]])</f>
        <v>216</v>
      </c>
      <c r="Y23" s="25" t="s">
        <v>14</v>
      </c>
      <c r="Z23">
        <f t="shared" si="1"/>
        <v>796</v>
      </c>
    </row>
    <row r="24" spans="1:26" x14ac:dyDescent="0.15">
      <c r="A24" s="26">
        <v>2019</v>
      </c>
      <c r="B24" s="24" t="s">
        <v>12</v>
      </c>
      <c r="C24">
        <v>0</v>
      </c>
      <c r="D24">
        <v>0</v>
      </c>
      <c r="F24">
        <f t="shared" si="0"/>
        <v>0</v>
      </c>
      <c r="G24" s="24">
        <v>2017</v>
      </c>
      <c r="H24" s="24" t="s">
        <v>12</v>
      </c>
      <c r="J24">
        <v>0</v>
      </c>
      <c r="L24">
        <f>SUM(Table1[[#This Row],[TA GALLONS2]:[EDS GALLONS2]])</f>
        <v>0</v>
      </c>
      <c r="M24" s="24">
        <v>2016</v>
      </c>
      <c r="N24" s="24" t="s">
        <v>12</v>
      </c>
      <c r="P24">
        <v>0</v>
      </c>
      <c r="R24">
        <f>SUM(Table1[[#This Row],[TA GALLONS3]:[EDS GALLONS3]])</f>
        <v>0</v>
      </c>
      <c r="S24" s="24">
        <v>2013</v>
      </c>
      <c r="T24" s="24" t="s">
        <v>12</v>
      </c>
      <c r="U24">
        <v>0</v>
      </c>
      <c r="V24">
        <v>0</v>
      </c>
      <c r="X24">
        <f>SUM(Table1[[#This Row],[TA GALLONS4]:[EDS GALLONS4]])</f>
        <v>0</v>
      </c>
      <c r="Y24" s="24" t="s">
        <v>12</v>
      </c>
      <c r="Z24">
        <f t="shared" si="1"/>
        <v>0</v>
      </c>
    </row>
    <row r="25" spans="1:26" x14ac:dyDescent="0.15">
      <c r="A25" s="27">
        <v>2019</v>
      </c>
      <c r="B25" s="25" t="s">
        <v>5</v>
      </c>
      <c r="C25">
        <v>736</v>
      </c>
      <c r="D25">
        <v>241</v>
      </c>
      <c r="F25">
        <f t="shared" si="0"/>
        <v>977</v>
      </c>
      <c r="G25" s="25">
        <v>2017</v>
      </c>
      <c r="H25" s="25" t="s">
        <v>5</v>
      </c>
      <c r="J25">
        <v>899</v>
      </c>
      <c r="L25">
        <f>SUM(Table1[[#This Row],[TA GALLONS2]:[EDS GALLONS2]])</f>
        <v>899</v>
      </c>
      <c r="M25" s="25">
        <v>2016</v>
      </c>
      <c r="N25" s="25" t="s">
        <v>5</v>
      </c>
      <c r="P25">
        <v>1009</v>
      </c>
      <c r="Q25">
        <v>188</v>
      </c>
      <c r="R25">
        <f>SUM(Table1[[#This Row],[TA GALLONS3]:[EDS GALLONS3]])</f>
        <v>1197</v>
      </c>
      <c r="S25" s="25">
        <v>2013</v>
      </c>
      <c r="T25" s="25" t="s">
        <v>5</v>
      </c>
      <c r="U25">
        <v>1221</v>
      </c>
      <c r="V25">
        <v>130</v>
      </c>
      <c r="X25">
        <f>SUM(Table1[[#This Row],[TA GALLONS4]:[EDS GALLONS4]])</f>
        <v>1351</v>
      </c>
      <c r="Y25" s="25" t="s">
        <v>5</v>
      </c>
      <c r="Z25">
        <f t="shared" si="1"/>
        <v>4424</v>
      </c>
    </row>
    <row r="26" spans="1:26" x14ac:dyDescent="0.15">
      <c r="A26" s="26">
        <v>2019</v>
      </c>
      <c r="B26" s="24" t="s">
        <v>29</v>
      </c>
      <c r="C26">
        <v>0</v>
      </c>
      <c r="D26">
        <v>0</v>
      </c>
      <c r="F26">
        <f t="shared" si="0"/>
        <v>0</v>
      </c>
      <c r="G26" s="24">
        <v>2017</v>
      </c>
      <c r="H26" s="24" t="s">
        <v>29</v>
      </c>
      <c r="J26">
        <v>0</v>
      </c>
      <c r="L26">
        <f>SUM(Table1[[#This Row],[TA GALLONS2]:[EDS GALLONS2]])</f>
        <v>0</v>
      </c>
      <c r="M26" s="24">
        <v>2016</v>
      </c>
      <c r="N26" s="24" t="s">
        <v>29</v>
      </c>
      <c r="P26">
        <v>0</v>
      </c>
      <c r="R26">
        <f>SUM(Table1[[#This Row],[TA GALLONS3]:[EDS GALLONS3]])</f>
        <v>0</v>
      </c>
      <c r="S26" s="24">
        <v>2013</v>
      </c>
      <c r="T26" s="24" t="s">
        <v>29</v>
      </c>
      <c r="U26">
        <v>0</v>
      </c>
      <c r="V26">
        <v>0</v>
      </c>
      <c r="X26">
        <f>SUM(Table1[[#This Row],[TA GALLONS4]:[EDS GALLONS4]])</f>
        <v>0</v>
      </c>
      <c r="Y26" s="24" t="s">
        <v>29</v>
      </c>
      <c r="Z26">
        <f t="shared" si="1"/>
        <v>0</v>
      </c>
    </row>
    <row r="27" spans="1:26" x14ac:dyDescent="0.15">
      <c r="A27" s="27">
        <v>2019</v>
      </c>
      <c r="B27" s="25" t="s">
        <v>15</v>
      </c>
      <c r="C27">
        <v>80</v>
      </c>
      <c r="D27">
        <v>0</v>
      </c>
      <c r="F27">
        <f t="shared" si="0"/>
        <v>80</v>
      </c>
      <c r="G27" s="25">
        <v>2017</v>
      </c>
      <c r="H27" s="25" t="s">
        <v>15</v>
      </c>
      <c r="J27">
        <v>263</v>
      </c>
      <c r="L27">
        <f>SUM(Table1[[#This Row],[TA GALLONS2]:[EDS GALLONS2]])</f>
        <v>263</v>
      </c>
      <c r="M27" s="25">
        <v>2016</v>
      </c>
      <c r="N27" s="25" t="s">
        <v>15</v>
      </c>
      <c r="P27">
        <v>227</v>
      </c>
      <c r="Q27">
        <v>185</v>
      </c>
      <c r="R27">
        <f>SUM(Table1[[#This Row],[TA GALLONS3]:[EDS GALLONS3]])</f>
        <v>412</v>
      </c>
      <c r="S27" s="25">
        <v>2013</v>
      </c>
      <c r="T27" s="25" t="s">
        <v>15</v>
      </c>
      <c r="U27">
        <v>0</v>
      </c>
      <c r="V27">
        <v>143</v>
      </c>
      <c r="X27">
        <f>SUM(Table1[[#This Row],[TA GALLONS4]:[EDS GALLONS4]])</f>
        <v>143</v>
      </c>
      <c r="Y27" s="25" t="s">
        <v>15</v>
      </c>
      <c r="Z27">
        <f t="shared" si="1"/>
        <v>898</v>
      </c>
    </row>
    <row r="28" spans="1:26" x14ac:dyDescent="0.15">
      <c r="A28" s="26">
        <v>2019</v>
      </c>
      <c r="B28" s="24" t="s">
        <v>6</v>
      </c>
      <c r="C28">
        <v>359</v>
      </c>
      <c r="D28">
        <v>288</v>
      </c>
      <c r="F28">
        <f t="shared" si="0"/>
        <v>647</v>
      </c>
      <c r="G28" s="24">
        <v>2017</v>
      </c>
      <c r="H28" s="24" t="s">
        <v>6</v>
      </c>
      <c r="J28">
        <v>140</v>
      </c>
      <c r="L28">
        <f>SUM(Table1[[#This Row],[TA GALLONS2]:[EDS GALLONS2]])</f>
        <v>140</v>
      </c>
      <c r="M28" s="24">
        <v>2016</v>
      </c>
      <c r="N28" s="24" t="s">
        <v>6</v>
      </c>
      <c r="P28">
        <v>692</v>
      </c>
      <c r="R28">
        <f>SUM(Table1[[#This Row],[TA GALLONS3]:[EDS GALLONS3]])</f>
        <v>692</v>
      </c>
      <c r="S28" s="24">
        <v>2013</v>
      </c>
      <c r="T28" s="24" t="s">
        <v>6</v>
      </c>
      <c r="U28">
        <v>70</v>
      </c>
      <c r="V28">
        <v>145</v>
      </c>
      <c r="X28">
        <f>SUM(Table1[[#This Row],[TA GALLONS4]:[EDS GALLONS4]])</f>
        <v>215</v>
      </c>
      <c r="Y28" s="24" t="s">
        <v>6</v>
      </c>
      <c r="Z28">
        <f t="shared" si="1"/>
        <v>1694</v>
      </c>
    </row>
    <row r="29" spans="1:26" x14ac:dyDescent="0.15">
      <c r="A29" s="27">
        <v>2019</v>
      </c>
      <c r="B29" s="25" t="s">
        <v>34</v>
      </c>
      <c r="C29">
        <v>0</v>
      </c>
      <c r="D29">
        <v>0</v>
      </c>
      <c r="F29">
        <f t="shared" si="0"/>
        <v>0</v>
      </c>
      <c r="G29" s="25">
        <v>2017</v>
      </c>
      <c r="H29" s="25" t="s">
        <v>34</v>
      </c>
      <c r="J29">
        <v>0</v>
      </c>
      <c r="L29">
        <f>SUM(Table1[[#This Row],[TA GALLONS2]:[EDS GALLONS2]])</f>
        <v>0</v>
      </c>
      <c r="M29" s="25">
        <v>2016</v>
      </c>
      <c r="N29" s="25" t="s">
        <v>34</v>
      </c>
      <c r="P29">
        <v>0</v>
      </c>
      <c r="R29">
        <f>SUM(Table1[[#This Row],[TA GALLONS3]:[EDS GALLONS3]])</f>
        <v>0</v>
      </c>
      <c r="S29" s="25">
        <v>2013</v>
      </c>
      <c r="T29" s="25" t="s">
        <v>34</v>
      </c>
      <c r="U29">
        <v>0</v>
      </c>
      <c r="V29">
        <v>0</v>
      </c>
      <c r="X29">
        <f>SUM(Table1[[#This Row],[TA GALLONS4]:[EDS GALLONS4]])</f>
        <v>0</v>
      </c>
      <c r="Y29" s="25" t="s">
        <v>34</v>
      </c>
      <c r="Z29">
        <f t="shared" si="1"/>
        <v>0</v>
      </c>
    </row>
    <row r="30" spans="1:26" x14ac:dyDescent="0.15">
      <c r="A30" s="26">
        <v>2019</v>
      </c>
      <c r="B30" s="24" t="s">
        <v>16</v>
      </c>
      <c r="C30">
        <v>0</v>
      </c>
      <c r="D30">
        <v>0</v>
      </c>
      <c r="F30">
        <f t="shared" si="0"/>
        <v>0</v>
      </c>
      <c r="G30" s="24">
        <v>2017</v>
      </c>
      <c r="H30" s="24" t="s">
        <v>16</v>
      </c>
      <c r="J30">
        <v>0</v>
      </c>
      <c r="L30">
        <f>SUM(Table1[[#This Row],[TA GALLONS2]:[EDS GALLONS2]])</f>
        <v>0</v>
      </c>
      <c r="M30" s="24">
        <v>2016</v>
      </c>
      <c r="N30" s="24" t="s">
        <v>16</v>
      </c>
      <c r="P30">
        <v>0</v>
      </c>
      <c r="R30">
        <f>SUM(Table1[[#This Row],[TA GALLONS3]:[EDS GALLONS3]])</f>
        <v>0</v>
      </c>
      <c r="S30" s="24">
        <v>2013</v>
      </c>
      <c r="T30" s="24" t="s">
        <v>16</v>
      </c>
      <c r="U30">
        <v>0</v>
      </c>
      <c r="V30">
        <v>0</v>
      </c>
      <c r="X30">
        <f>SUM(Table1[[#This Row],[TA GALLONS4]:[EDS GALLONS4]])</f>
        <v>0</v>
      </c>
      <c r="Y30" s="24" t="s">
        <v>16</v>
      </c>
      <c r="Z30">
        <f t="shared" si="1"/>
        <v>0</v>
      </c>
    </row>
    <row r="31" spans="1:26" x14ac:dyDescent="0.15">
      <c r="A31" s="27">
        <v>2019</v>
      </c>
      <c r="B31" s="25" t="s">
        <v>30</v>
      </c>
      <c r="C31">
        <v>136</v>
      </c>
      <c r="D31">
        <v>0</v>
      </c>
      <c r="F31">
        <f t="shared" si="0"/>
        <v>136</v>
      </c>
      <c r="G31" s="25">
        <v>2017</v>
      </c>
      <c r="H31" s="25" t="s">
        <v>30</v>
      </c>
      <c r="J31">
        <v>0</v>
      </c>
      <c r="L31">
        <f>SUM(Table1[[#This Row],[TA GALLONS2]:[EDS GALLONS2]])</f>
        <v>0</v>
      </c>
      <c r="M31" s="25">
        <v>2016</v>
      </c>
      <c r="N31" s="25" t="s">
        <v>30</v>
      </c>
      <c r="P31">
        <v>0</v>
      </c>
      <c r="R31">
        <f>SUM(Table1[[#This Row],[TA GALLONS3]:[EDS GALLONS3]])</f>
        <v>0</v>
      </c>
      <c r="S31" s="25">
        <v>2013</v>
      </c>
      <c r="T31" s="25" t="s">
        <v>30</v>
      </c>
      <c r="U31">
        <v>0</v>
      </c>
      <c r="V31">
        <v>0</v>
      </c>
      <c r="X31">
        <f>SUM(Table1[[#This Row],[TA GALLONS4]:[EDS GALLONS4]])</f>
        <v>0</v>
      </c>
      <c r="Y31" s="25" t="s">
        <v>30</v>
      </c>
      <c r="Z31">
        <f t="shared" si="1"/>
        <v>136</v>
      </c>
    </row>
    <row r="32" spans="1:26" x14ac:dyDescent="0.15">
      <c r="A32" s="26">
        <v>2019</v>
      </c>
      <c r="B32" s="24" t="s">
        <v>17</v>
      </c>
      <c r="C32">
        <v>0</v>
      </c>
      <c r="D32">
        <v>0</v>
      </c>
      <c r="F32">
        <f t="shared" si="0"/>
        <v>0</v>
      </c>
      <c r="G32" s="24">
        <v>2017</v>
      </c>
      <c r="H32" s="24" t="s">
        <v>17</v>
      </c>
      <c r="J32">
        <v>0</v>
      </c>
      <c r="L32">
        <f>SUM(Table1[[#This Row],[TA GALLONS2]:[EDS GALLONS2]])</f>
        <v>0</v>
      </c>
      <c r="M32" s="24">
        <v>2016</v>
      </c>
      <c r="N32" s="24" t="s">
        <v>17</v>
      </c>
      <c r="P32">
        <v>0</v>
      </c>
      <c r="R32">
        <f>SUM(Table1[[#This Row],[TA GALLONS3]:[EDS GALLONS3]])</f>
        <v>0</v>
      </c>
      <c r="S32" s="24">
        <v>2013</v>
      </c>
      <c r="T32" s="24" t="s">
        <v>17</v>
      </c>
      <c r="U32">
        <v>0</v>
      </c>
      <c r="V32">
        <v>0</v>
      </c>
      <c r="X32">
        <f>SUM(Table1[[#This Row],[TA GALLONS4]:[EDS GALLONS4]])</f>
        <v>0</v>
      </c>
      <c r="Y32" s="24" t="s">
        <v>17</v>
      </c>
      <c r="Z32">
        <f t="shared" si="1"/>
        <v>0</v>
      </c>
    </row>
    <row r="33" spans="1:26" x14ac:dyDescent="0.15">
      <c r="A33" s="27">
        <v>2019</v>
      </c>
      <c r="B33" s="25" t="s">
        <v>7</v>
      </c>
      <c r="C33">
        <v>719</v>
      </c>
      <c r="D33">
        <v>0</v>
      </c>
      <c r="F33">
        <f t="shared" si="0"/>
        <v>719</v>
      </c>
      <c r="G33" s="25">
        <v>2017</v>
      </c>
      <c r="H33" s="25" t="s">
        <v>7</v>
      </c>
      <c r="J33">
        <v>135</v>
      </c>
      <c r="L33">
        <f>SUM(Table1[[#This Row],[TA GALLONS2]:[EDS GALLONS2]])</f>
        <v>135</v>
      </c>
      <c r="M33" s="25">
        <v>2016</v>
      </c>
      <c r="N33" s="25" t="s">
        <v>7</v>
      </c>
      <c r="P33">
        <v>184</v>
      </c>
      <c r="R33">
        <f>SUM(Table1[[#This Row],[TA GALLONS3]:[EDS GALLONS3]])</f>
        <v>184</v>
      </c>
      <c r="S33" s="25">
        <v>2013</v>
      </c>
      <c r="T33" s="25" t="s">
        <v>7</v>
      </c>
      <c r="U33">
        <v>0</v>
      </c>
      <c r="V33">
        <v>175</v>
      </c>
      <c r="X33">
        <f>SUM(Table1[[#This Row],[TA GALLONS4]:[EDS GALLONS4]])</f>
        <v>175</v>
      </c>
      <c r="Y33" s="25" t="s">
        <v>7</v>
      </c>
      <c r="Z33">
        <f t="shared" si="1"/>
        <v>1213</v>
      </c>
    </row>
    <row r="34" spans="1:26" x14ac:dyDescent="0.15">
      <c r="A34" s="26">
        <v>2019</v>
      </c>
      <c r="B34" s="24" t="s">
        <v>56</v>
      </c>
      <c r="C34">
        <v>0</v>
      </c>
      <c r="D34">
        <v>0</v>
      </c>
      <c r="F34">
        <f t="shared" si="0"/>
        <v>0</v>
      </c>
      <c r="G34" s="24">
        <v>2017</v>
      </c>
      <c r="H34" s="24" t="s">
        <v>56</v>
      </c>
      <c r="J34">
        <v>0</v>
      </c>
      <c r="L34">
        <f>SUM(Table1[[#This Row],[TA GALLONS2]:[EDS GALLONS2]])</f>
        <v>0</v>
      </c>
      <c r="M34" s="24">
        <v>2016</v>
      </c>
      <c r="N34" s="24" t="s">
        <v>56</v>
      </c>
      <c r="P34">
        <v>0</v>
      </c>
      <c r="R34">
        <f>SUM(Table1[[#This Row],[TA GALLONS3]:[EDS GALLONS3]])</f>
        <v>0</v>
      </c>
      <c r="S34" s="24">
        <v>2013</v>
      </c>
      <c r="T34" s="24" t="s">
        <v>56</v>
      </c>
      <c r="U34">
        <v>0</v>
      </c>
      <c r="V34">
        <v>0</v>
      </c>
      <c r="X34">
        <f>SUM(Table1[[#This Row],[TA GALLONS4]:[EDS GALLONS4]])</f>
        <v>0</v>
      </c>
      <c r="Y34" s="24" t="s">
        <v>56</v>
      </c>
      <c r="Z34">
        <f t="shared" si="1"/>
        <v>0</v>
      </c>
    </row>
    <row r="35" spans="1:26" x14ac:dyDescent="0.15">
      <c r="A35" s="27">
        <v>2019</v>
      </c>
      <c r="B35" s="25" t="s">
        <v>8</v>
      </c>
      <c r="C35">
        <v>0</v>
      </c>
      <c r="D35">
        <v>0</v>
      </c>
      <c r="F35">
        <f t="shared" si="0"/>
        <v>0</v>
      </c>
      <c r="G35" s="25">
        <v>2017</v>
      </c>
      <c r="H35" s="25" t="s">
        <v>8</v>
      </c>
      <c r="J35">
        <v>0</v>
      </c>
      <c r="L35">
        <f>SUM(Table1[[#This Row],[TA GALLONS2]:[EDS GALLONS2]])</f>
        <v>0</v>
      </c>
      <c r="M35" s="25">
        <v>2016</v>
      </c>
      <c r="N35" s="25" t="s">
        <v>8</v>
      </c>
      <c r="P35">
        <v>0</v>
      </c>
      <c r="R35">
        <f>SUM(Table1[[#This Row],[TA GALLONS3]:[EDS GALLONS3]])</f>
        <v>0</v>
      </c>
      <c r="S35" s="25">
        <v>2013</v>
      </c>
      <c r="T35" s="25" t="s">
        <v>8</v>
      </c>
      <c r="U35">
        <v>0</v>
      </c>
      <c r="V35">
        <v>0</v>
      </c>
      <c r="X35">
        <f>SUM(Table1[[#This Row],[TA GALLONS4]:[EDS GALLONS4]])</f>
        <v>0</v>
      </c>
      <c r="Y35" s="25" t="s">
        <v>8</v>
      </c>
      <c r="Z35">
        <f t="shared" si="1"/>
        <v>0</v>
      </c>
    </row>
    <row r="36" spans="1:26" x14ac:dyDescent="0.15">
      <c r="A36" s="26">
        <v>2019</v>
      </c>
      <c r="B36" s="24" t="s">
        <v>18</v>
      </c>
      <c r="C36">
        <v>449</v>
      </c>
      <c r="D36">
        <v>0</v>
      </c>
      <c r="F36">
        <f t="shared" si="0"/>
        <v>449</v>
      </c>
      <c r="G36" s="24">
        <v>2017</v>
      </c>
      <c r="H36" s="24" t="s">
        <v>18</v>
      </c>
      <c r="J36">
        <v>137</v>
      </c>
      <c r="L36">
        <f>SUM(Table1[[#This Row],[TA GALLONS2]:[EDS GALLONS2]])</f>
        <v>137</v>
      </c>
      <c r="M36" s="24">
        <v>2016</v>
      </c>
      <c r="N36" s="24" t="s">
        <v>18</v>
      </c>
      <c r="P36">
        <v>218</v>
      </c>
      <c r="R36">
        <f>SUM(Table1[[#This Row],[TA GALLONS3]:[EDS GALLONS3]])</f>
        <v>218</v>
      </c>
      <c r="S36" s="24">
        <v>2013</v>
      </c>
      <c r="T36" s="24" t="s">
        <v>18</v>
      </c>
      <c r="U36">
        <v>318</v>
      </c>
      <c r="V36">
        <v>190</v>
      </c>
      <c r="X36">
        <f>SUM(Table1[[#This Row],[TA GALLONS4]:[EDS GALLONS4]])</f>
        <v>508</v>
      </c>
      <c r="Y36" s="24" t="s">
        <v>18</v>
      </c>
      <c r="Z36">
        <f t="shared" si="1"/>
        <v>1312</v>
      </c>
    </row>
    <row r="37" spans="1:26" x14ac:dyDescent="0.15">
      <c r="A37" s="27">
        <v>2019</v>
      </c>
      <c r="B37" s="23" t="s">
        <v>58</v>
      </c>
      <c r="C37">
        <v>0</v>
      </c>
      <c r="D37">
        <v>0</v>
      </c>
      <c r="F37">
        <f t="shared" si="0"/>
        <v>0</v>
      </c>
      <c r="G37" s="25">
        <v>2017</v>
      </c>
      <c r="H37" s="23" t="s">
        <v>58</v>
      </c>
      <c r="J37">
        <v>0</v>
      </c>
      <c r="L37">
        <f>SUM(Table1[[#This Row],[TA GALLONS2]:[EDS GALLONS2]])</f>
        <v>0</v>
      </c>
      <c r="M37" s="25">
        <v>2016</v>
      </c>
      <c r="N37" s="23" t="s">
        <v>58</v>
      </c>
      <c r="P37">
        <v>0</v>
      </c>
      <c r="R37">
        <f>SUM(Table1[[#This Row],[TA GALLONS3]:[EDS GALLONS3]])</f>
        <v>0</v>
      </c>
      <c r="S37" s="25">
        <v>2013</v>
      </c>
      <c r="T37" s="23" t="s">
        <v>58</v>
      </c>
      <c r="U37">
        <v>162</v>
      </c>
      <c r="V37">
        <v>0</v>
      </c>
      <c r="X37">
        <f>SUM(Table1[[#This Row],[TA GALLONS4]:[EDS GALLONS4]])</f>
        <v>162</v>
      </c>
      <c r="Y37" s="23" t="s">
        <v>58</v>
      </c>
      <c r="Z37">
        <f t="shared" si="1"/>
        <v>162</v>
      </c>
    </row>
    <row r="38" spans="1:26" x14ac:dyDescent="0.15">
      <c r="A38" s="26">
        <v>2019</v>
      </c>
      <c r="B38" s="24" t="s">
        <v>9</v>
      </c>
      <c r="C38">
        <f>SUM(C2:C37)</f>
        <v>4098</v>
      </c>
      <c r="D38">
        <f>SUM(D2:D37)</f>
        <v>1320</v>
      </c>
      <c r="F38">
        <f t="shared" si="0"/>
        <v>5418</v>
      </c>
      <c r="G38" s="24">
        <v>2017</v>
      </c>
      <c r="H38" s="24" t="s">
        <v>9</v>
      </c>
      <c r="J38">
        <f>SUM(J2:J37)</f>
        <v>4281</v>
      </c>
      <c r="K38" s="15">
        <f>SUM(K2:K37)</f>
        <v>203</v>
      </c>
      <c r="L38">
        <f>SUM(Table1[[#This Row],[TA GALLONS2]:[EDS GALLONS2]])</f>
        <v>4484</v>
      </c>
      <c r="M38" s="24">
        <v>2016</v>
      </c>
      <c r="N38" s="24" t="s">
        <v>9</v>
      </c>
      <c r="P38">
        <f>SUM(P2:P37)</f>
        <v>4405</v>
      </c>
      <c r="Q38">
        <f>SUM(Q2:Q37)</f>
        <v>422</v>
      </c>
      <c r="R38">
        <f>SUM(Table1[[#This Row],[TA GALLONS3]:[EDS GALLONS3]])</f>
        <v>4827</v>
      </c>
      <c r="S38" s="24">
        <v>2013</v>
      </c>
      <c r="T38" s="24" t="s">
        <v>9</v>
      </c>
      <c r="U38">
        <f>SUM(U2:U37)</f>
        <v>2998</v>
      </c>
      <c r="V38">
        <f>SUM(V2:V37)</f>
        <v>1667</v>
      </c>
      <c r="X38">
        <f>SUM(Table1[[#This Row],[TA GALLONS4]:[EDS GALLONS4]])</f>
        <v>4665</v>
      </c>
      <c r="Z38">
        <f t="shared" si="1"/>
        <v>19394</v>
      </c>
    </row>
  </sheetData>
  <conditionalFormatting sqref="Z6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B0950-30B4-4A0C-BD3B-E526273799D1}">
  <dimension ref="A1:Z38"/>
  <sheetViews>
    <sheetView workbookViewId="0">
      <selection activeCell="E46" sqref="E46"/>
    </sheetView>
  </sheetViews>
  <sheetFormatPr defaultColWidth="8.76171875" defaultRowHeight="12.75" x14ac:dyDescent="0.15"/>
  <sheetData>
    <row r="1" spans="1:26" x14ac:dyDescent="0.15">
      <c r="A1" s="26" t="s">
        <v>71</v>
      </c>
      <c r="B1" s="24" t="s">
        <v>36</v>
      </c>
      <c r="C1" s="28" t="s">
        <v>92</v>
      </c>
      <c r="D1" s="28" t="s">
        <v>97</v>
      </c>
      <c r="E1" t="s">
        <v>69</v>
      </c>
      <c r="F1" t="s">
        <v>9</v>
      </c>
      <c r="G1" s="24" t="s">
        <v>72</v>
      </c>
      <c r="H1" s="24" t="s">
        <v>40</v>
      </c>
      <c r="I1" s="28" t="s">
        <v>90</v>
      </c>
      <c r="J1" s="28" t="s">
        <v>95</v>
      </c>
      <c r="K1" s="15" t="s">
        <v>76</v>
      </c>
      <c r="L1" t="s">
        <v>77</v>
      </c>
      <c r="M1" s="24" t="s">
        <v>79</v>
      </c>
      <c r="N1" s="24" t="s">
        <v>44</v>
      </c>
      <c r="O1" s="28" t="s">
        <v>96</v>
      </c>
      <c r="P1" s="28" t="s">
        <v>93</v>
      </c>
      <c r="Q1" t="s">
        <v>81</v>
      </c>
      <c r="R1" t="s">
        <v>82</v>
      </c>
      <c r="S1" s="24" t="s">
        <v>83</v>
      </c>
      <c r="T1" s="24" t="s">
        <v>48</v>
      </c>
      <c r="U1" s="28" t="s">
        <v>94</v>
      </c>
      <c r="V1" s="28" t="s">
        <v>91</v>
      </c>
      <c r="W1" t="s">
        <v>85</v>
      </c>
      <c r="X1" t="s">
        <v>86</v>
      </c>
      <c r="Y1" s="24" t="s">
        <v>52</v>
      </c>
      <c r="Z1" t="s">
        <v>87</v>
      </c>
    </row>
    <row r="2" spans="1:26" x14ac:dyDescent="0.15">
      <c r="A2" s="26">
        <v>2019</v>
      </c>
      <c r="B2" s="24" t="s">
        <v>20</v>
      </c>
      <c r="F2">
        <f t="shared" ref="F2:F38" si="0">SUM(C2,D2,E2)</f>
        <v>0</v>
      </c>
      <c r="G2" s="24">
        <v>2017</v>
      </c>
      <c r="H2" s="24" t="s">
        <v>20</v>
      </c>
      <c r="I2">
        <v>0</v>
      </c>
      <c r="J2">
        <v>0</v>
      </c>
      <c r="K2" s="15"/>
      <c r="L2">
        <f>SUM(Table14[[#This Row],[Pilot ]:[EDS GALLONS2]])</f>
        <v>0</v>
      </c>
      <c r="M2" s="24">
        <v>2015</v>
      </c>
      <c r="N2" s="24" t="s">
        <v>20</v>
      </c>
      <c r="O2">
        <v>0</v>
      </c>
      <c r="P2">
        <v>0</v>
      </c>
      <c r="R2">
        <f>SUM(Table14[[#This Row],[Pilot2]:[EDS GALLONS3]])</f>
        <v>0</v>
      </c>
      <c r="S2" s="24">
        <v>2013</v>
      </c>
      <c r="T2" s="24" t="s">
        <v>20</v>
      </c>
      <c r="U2">
        <v>0</v>
      </c>
      <c r="V2">
        <v>0</v>
      </c>
      <c r="X2">
        <f>SUM(Table14[[#This Row],[Pilot 2]:[EDS GALLONS4]])</f>
        <v>0</v>
      </c>
      <c r="Y2" s="24" t="s">
        <v>20</v>
      </c>
      <c r="Z2">
        <f t="shared" ref="Z2:Z38" si="1">SUM(F2,L2,R2,X2)</f>
        <v>0</v>
      </c>
    </row>
    <row r="3" spans="1:26" x14ac:dyDescent="0.15">
      <c r="A3" s="27">
        <v>2019</v>
      </c>
      <c r="B3" s="25" t="s">
        <v>21</v>
      </c>
      <c r="F3">
        <f t="shared" si="0"/>
        <v>0</v>
      </c>
      <c r="G3" s="25">
        <v>2017</v>
      </c>
      <c r="H3" s="25" t="s">
        <v>21</v>
      </c>
      <c r="I3">
        <v>0</v>
      </c>
      <c r="J3">
        <v>0</v>
      </c>
      <c r="K3" s="15"/>
      <c r="L3">
        <f>SUM(Table14[[#This Row],[Pilot ]:[EDS GALLONS2]])</f>
        <v>0</v>
      </c>
      <c r="M3" s="25">
        <v>2015</v>
      </c>
      <c r="N3" s="25" t="s">
        <v>21</v>
      </c>
      <c r="O3">
        <v>0</v>
      </c>
      <c r="P3">
        <v>0</v>
      </c>
      <c r="R3">
        <f>SUM(Table14[[#This Row],[Pilot2]:[EDS GALLONS3]])</f>
        <v>0</v>
      </c>
      <c r="S3" s="25">
        <v>2013</v>
      </c>
      <c r="T3" s="25" t="s">
        <v>21</v>
      </c>
      <c r="U3">
        <v>0</v>
      </c>
      <c r="V3">
        <v>0</v>
      </c>
      <c r="X3">
        <f>SUM(Table14[[#This Row],[Pilot 2]:[EDS GALLONS4]])</f>
        <v>0</v>
      </c>
      <c r="Y3" s="25" t="s">
        <v>21</v>
      </c>
      <c r="Z3">
        <f t="shared" si="1"/>
        <v>0</v>
      </c>
    </row>
    <row r="4" spans="1:26" x14ac:dyDescent="0.15">
      <c r="A4" s="26">
        <v>2019</v>
      </c>
      <c r="B4" s="24" t="s">
        <v>1</v>
      </c>
      <c r="C4">
        <v>720</v>
      </c>
      <c r="D4">
        <v>1533</v>
      </c>
      <c r="F4">
        <f t="shared" si="0"/>
        <v>2253</v>
      </c>
      <c r="G4" s="24">
        <v>2017</v>
      </c>
      <c r="H4" s="24" t="s">
        <v>1</v>
      </c>
      <c r="I4">
        <v>205</v>
      </c>
      <c r="J4">
        <v>205</v>
      </c>
      <c r="K4" s="15"/>
      <c r="L4">
        <f>SUM(Table14[[#This Row],[Pilot ]:[EDS GALLONS2]])</f>
        <v>410</v>
      </c>
      <c r="M4" s="24">
        <v>2015</v>
      </c>
      <c r="N4" s="24" t="s">
        <v>1</v>
      </c>
      <c r="O4">
        <v>1250</v>
      </c>
      <c r="P4">
        <v>469</v>
      </c>
      <c r="R4">
        <f>SUM(Table14[[#This Row],[Pilot2]:[EDS GALLONS3]])</f>
        <v>1719</v>
      </c>
      <c r="S4" s="24">
        <v>2013</v>
      </c>
      <c r="T4" s="24" t="s">
        <v>1</v>
      </c>
      <c r="U4">
        <v>63</v>
      </c>
      <c r="V4">
        <v>783</v>
      </c>
      <c r="X4">
        <f>SUM(Table14[[#This Row],[Pilot 2]:[EDS GALLONS4]])</f>
        <v>846</v>
      </c>
      <c r="Y4" s="24" t="s">
        <v>1</v>
      </c>
      <c r="Z4">
        <f t="shared" si="1"/>
        <v>5228</v>
      </c>
    </row>
    <row r="5" spans="1:26" x14ac:dyDescent="0.15">
      <c r="A5" s="27">
        <v>2019</v>
      </c>
      <c r="B5" s="25" t="s">
        <v>2</v>
      </c>
      <c r="C5">
        <v>72</v>
      </c>
      <c r="D5">
        <v>321</v>
      </c>
      <c r="F5">
        <f t="shared" si="0"/>
        <v>393</v>
      </c>
      <c r="G5" s="25">
        <v>2017</v>
      </c>
      <c r="H5" s="25" t="s">
        <v>2</v>
      </c>
      <c r="I5">
        <v>429</v>
      </c>
      <c r="J5">
        <v>375</v>
      </c>
      <c r="K5" s="15"/>
      <c r="L5">
        <f>SUM(Table14[[#This Row],[Pilot ]:[EDS GALLONS2]])</f>
        <v>804</v>
      </c>
      <c r="M5" s="25">
        <v>2015</v>
      </c>
      <c r="N5" s="25" t="s">
        <v>2</v>
      </c>
      <c r="O5">
        <v>375</v>
      </c>
      <c r="P5">
        <v>0</v>
      </c>
      <c r="R5">
        <f>SUM(Table14[[#This Row],[Pilot2]:[EDS GALLONS3]])</f>
        <v>375</v>
      </c>
      <c r="S5" s="25">
        <v>2013</v>
      </c>
      <c r="T5" s="25" t="s">
        <v>2</v>
      </c>
      <c r="U5">
        <v>305</v>
      </c>
      <c r="V5">
        <v>120</v>
      </c>
      <c r="X5">
        <f>SUM(Table14[[#This Row],[Pilot 2]:[EDS GALLONS4]])</f>
        <v>425</v>
      </c>
      <c r="Y5" s="25" t="s">
        <v>2</v>
      </c>
      <c r="Z5">
        <f t="shared" si="1"/>
        <v>1997</v>
      </c>
    </row>
    <row r="6" spans="1:26" x14ac:dyDescent="0.15">
      <c r="A6" s="26">
        <v>2019</v>
      </c>
      <c r="B6" s="24" t="s">
        <v>11</v>
      </c>
      <c r="F6">
        <f t="shared" si="0"/>
        <v>0</v>
      </c>
      <c r="G6" s="24">
        <v>2017</v>
      </c>
      <c r="H6" s="24" t="s">
        <v>11</v>
      </c>
      <c r="I6">
        <v>0</v>
      </c>
      <c r="J6">
        <v>0</v>
      </c>
      <c r="K6" s="15"/>
      <c r="L6">
        <f>SUM(Table14[[#This Row],[Pilot ]:[EDS GALLONS2]])</f>
        <v>0</v>
      </c>
      <c r="M6" s="24">
        <v>2015</v>
      </c>
      <c r="N6" s="24" t="s">
        <v>11</v>
      </c>
      <c r="O6">
        <v>0</v>
      </c>
      <c r="P6">
        <v>0</v>
      </c>
      <c r="R6">
        <f>SUM(Table14[[#This Row],[Pilot2]:[EDS GALLONS3]])</f>
        <v>0</v>
      </c>
      <c r="S6" s="24">
        <v>2013</v>
      </c>
      <c r="T6" s="24" t="s">
        <v>11</v>
      </c>
      <c r="U6">
        <v>190</v>
      </c>
      <c r="V6">
        <v>0</v>
      </c>
      <c r="X6">
        <f>SUM(Table14[[#This Row],[Pilot 2]:[EDS GALLONS4]])</f>
        <v>190</v>
      </c>
      <c r="Y6" s="24" t="s">
        <v>11</v>
      </c>
      <c r="Z6">
        <f t="shared" si="1"/>
        <v>190</v>
      </c>
    </row>
    <row r="7" spans="1:26" x14ac:dyDescent="0.15">
      <c r="A7" s="27">
        <v>2019</v>
      </c>
      <c r="B7" s="23" t="s">
        <v>59</v>
      </c>
      <c r="F7">
        <f t="shared" si="0"/>
        <v>0</v>
      </c>
      <c r="G7" s="25">
        <v>2017</v>
      </c>
      <c r="H7" s="23" t="s">
        <v>59</v>
      </c>
      <c r="I7">
        <v>0</v>
      </c>
      <c r="J7">
        <v>0</v>
      </c>
      <c r="K7" s="15"/>
      <c r="L7">
        <f>SUM(Table14[[#This Row],[Pilot ]:[EDS GALLONS2]])</f>
        <v>0</v>
      </c>
      <c r="M7" s="25">
        <v>2015</v>
      </c>
      <c r="N7" s="23" t="s">
        <v>59</v>
      </c>
      <c r="O7">
        <v>0</v>
      </c>
      <c r="P7">
        <v>0</v>
      </c>
      <c r="R7">
        <f>SUM(Table14[[#This Row],[Pilot2]:[EDS GALLONS3]])</f>
        <v>0</v>
      </c>
      <c r="S7" s="25">
        <v>2013</v>
      </c>
      <c r="T7" s="23" t="s">
        <v>59</v>
      </c>
      <c r="U7">
        <v>0</v>
      </c>
      <c r="V7">
        <v>0</v>
      </c>
      <c r="X7">
        <f>SUM(Table14[[#This Row],[Pilot 2]:[EDS GALLONS4]])</f>
        <v>0</v>
      </c>
      <c r="Y7" s="23" t="s">
        <v>59</v>
      </c>
      <c r="Z7">
        <f t="shared" si="1"/>
        <v>0</v>
      </c>
    </row>
    <row r="8" spans="1:26" x14ac:dyDescent="0.15">
      <c r="A8" s="26">
        <v>2019</v>
      </c>
      <c r="B8" s="24" t="s">
        <v>32</v>
      </c>
      <c r="F8">
        <f t="shared" si="0"/>
        <v>0</v>
      </c>
      <c r="G8" s="24">
        <v>2017</v>
      </c>
      <c r="H8" s="24" t="s">
        <v>32</v>
      </c>
      <c r="I8">
        <v>0</v>
      </c>
      <c r="J8">
        <v>0</v>
      </c>
      <c r="K8" s="15"/>
      <c r="L8">
        <f>SUM(Table14[[#This Row],[Pilot ]:[EDS GALLONS2]])</f>
        <v>0</v>
      </c>
      <c r="M8" s="24">
        <v>2015</v>
      </c>
      <c r="N8" s="24" t="s">
        <v>32</v>
      </c>
      <c r="O8">
        <v>0</v>
      </c>
      <c r="P8">
        <v>0</v>
      </c>
      <c r="R8">
        <f>SUM(Table14[[#This Row],[Pilot2]:[EDS GALLONS3]])</f>
        <v>0</v>
      </c>
      <c r="S8" s="24">
        <v>2013</v>
      </c>
      <c r="T8" s="24" t="s">
        <v>32</v>
      </c>
      <c r="U8">
        <v>0</v>
      </c>
      <c r="V8">
        <v>0</v>
      </c>
      <c r="X8">
        <f>SUM(Table14[[#This Row],[Pilot 2]:[EDS GALLONS4]])</f>
        <v>0</v>
      </c>
      <c r="Y8" s="24" t="s">
        <v>32</v>
      </c>
      <c r="Z8">
        <f t="shared" si="1"/>
        <v>0</v>
      </c>
    </row>
    <row r="9" spans="1:26" x14ac:dyDescent="0.15">
      <c r="A9" s="27">
        <v>2019</v>
      </c>
      <c r="B9" s="25" t="s">
        <v>22</v>
      </c>
      <c r="F9">
        <f t="shared" si="0"/>
        <v>0</v>
      </c>
      <c r="G9" s="25">
        <v>2017</v>
      </c>
      <c r="H9" s="25" t="s">
        <v>22</v>
      </c>
      <c r="I9">
        <v>0</v>
      </c>
      <c r="J9">
        <v>0</v>
      </c>
      <c r="K9" s="15"/>
      <c r="L9">
        <f>SUM(Table14[[#This Row],[Pilot ]:[EDS GALLONS2]])</f>
        <v>0</v>
      </c>
      <c r="M9" s="25">
        <v>2015</v>
      </c>
      <c r="N9" s="25" t="s">
        <v>22</v>
      </c>
      <c r="O9">
        <v>0</v>
      </c>
      <c r="P9">
        <v>0</v>
      </c>
      <c r="R9">
        <f>SUM(Table14[[#This Row],[Pilot2]:[EDS GALLONS3]])</f>
        <v>0</v>
      </c>
      <c r="S9" s="25">
        <v>2013</v>
      </c>
      <c r="T9" s="25" t="s">
        <v>22</v>
      </c>
      <c r="U9">
        <v>0</v>
      </c>
      <c r="V9">
        <v>0</v>
      </c>
      <c r="X9">
        <f>SUM(Table14[[#This Row],[Pilot 2]:[EDS GALLONS4]])</f>
        <v>0</v>
      </c>
      <c r="Y9" s="25" t="s">
        <v>22</v>
      </c>
      <c r="Z9">
        <f t="shared" si="1"/>
        <v>0</v>
      </c>
    </row>
    <row r="10" spans="1:26" x14ac:dyDescent="0.15">
      <c r="A10" s="26">
        <v>2019</v>
      </c>
      <c r="B10" s="24" t="s">
        <v>3</v>
      </c>
      <c r="F10">
        <f t="shared" si="0"/>
        <v>0</v>
      </c>
      <c r="G10" s="24">
        <v>2017</v>
      </c>
      <c r="H10" s="24" t="s">
        <v>3</v>
      </c>
      <c r="I10">
        <v>0</v>
      </c>
      <c r="J10">
        <v>0</v>
      </c>
      <c r="K10" s="15"/>
      <c r="L10">
        <f>SUM(Table14[[#This Row],[Pilot ]:[EDS GALLONS2]])</f>
        <v>0</v>
      </c>
      <c r="M10" s="24">
        <v>2015</v>
      </c>
      <c r="N10" s="24" t="s">
        <v>3</v>
      </c>
      <c r="O10">
        <v>0</v>
      </c>
      <c r="R10">
        <f>SUM(Table14[[#This Row],[Pilot2]:[EDS GALLONS3]])</f>
        <v>0</v>
      </c>
      <c r="S10" s="24">
        <v>2013</v>
      </c>
      <c r="T10" s="24" t="s">
        <v>3</v>
      </c>
      <c r="U10">
        <v>0</v>
      </c>
      <c r="V10">
        <v>0</v>
      </c>
      <c r="X10">
        <f>SUM(Table14[[#This Row],[Pilot 2]:[EDS GALLONS4]])</f>
        <v>0</v>
      </c>
      <c r="Y10" s="24" t="s">
        <v>3</v>
      </c>
      <c r="Z10">
        <f t="shared" si="1"/>
        <v>0</v>
      </c>
    </row>
    <row r="11" spans="1:26" x14ac:dyDescent="0.15">
      <c r="A11" s="27">
        <v>2019</v>
      </c>
      <c r="B11" s="25" t="s">
        <v>23</v>
      </c>
      <c r="F11">
        <f t="shared" si="0"/>
        <v>0</v>
      </c>
      <c r="G11" s="25">
        <v>2017</v>
      </c>
      <c r="H11" s="25" t="s">
        <v>23</v>
      </c>
      <c r="I11">
        <v>0</v>
      </c>
      <c r="J11">
        <v>0</v>
      </c>
      <c r="K11" s="15"/>
      <c r="L11">
        <f>SUM(Table14[[#This Row],[Pilot ]:[EDS GALLONS2]])</f>
        <v>0</v>
      </c>
      <c r="M11" s="25">
        <v>2015</v>
      </c>
      <c r="N11" s="25" t="s">
        <v>23</v>
      </c>
      <c r="P11">
        <v>0</v>
      </c>
      <c r="R11">
        <f>SUM(Table14[[#This Row],[Pilot2]:[EDS GALLONS3]])</f>
        <v>0</v>
      </c>
      <c r="S11" s="25">
        <v>2013</v>
      </c>
      <c r="T11" s="25" t="s">
        <v>23</v>
      </c>
      <c r="U11">
        <v>0</v>
      </c>
      <c r="V11">
        <v>0</v>
      </c>
      <c r="X11">
        <f>SUM(Table14[[#This Row],[Pilot 2]:[EDS GALLONS4]])</f>
        <v>0</v>
      </c>
      <c r="Y11" s="25" t="s">
        <v>23</v>
      </c>
      <c r="Z11">
        <f t="shared" si="1"/>
        <v>0</v>
      </c>
    </row>
    <row r="12" spans="1:26" x14ac:dyDescent="0.15">
      <c r="A12" s="26">
        <v>2019</v>
      </c>
      <c r="B12" s="24" t="s">
        <v>24</v>
      </c>
      <c r="F12">
        <f t="shared" si="0"/>
        <v>0</v>
      </c>
      <c r="G12" s="24">
        <v>2017</v>
      </c>
      <c r="H12" s="24" t="s">
        <v>24</v>
      </c>
      <c r="I12">
        <v>0</v>
      </c>
      <c r="J12">
        <v>0</v>
      </c>
      <c r="K12" s="15"/>
      <c r="L12">
        <f>SUM(Table14[[#This Row],[Pilot ]:[EDS GALLONS2]])</f>
        <v>0</v>
      </c>
      <c r="M12" s="24">
        <v>2015</v>
      </c>
      <c r="N12" s="24" t="s">
        <v>24</v>
      </c>
      <c r="O12">
        <v>0</v>
      </c>
      <c r="P12">
        <v>0</v>
      </c>
      <c r="R12">
        <f>SUM(Table14[[#This Row],[Pilot2]:[EDS GALLONS3]])</f>
        <v>0</v>
      </c>
      <c r="S12" s="24">
        <v>2013</v>
      </c>
      <c r="T12" s="24" t="s">
        <v>24</v>
      </c>
      <c r="U12">
        <v>0</v>
      </c>
      <c r="V12">
        <v>0</v>
      </c>
      <c r="X12">
        <f>SUM(Table14[[#This Row],[Pilot 2]:[EDS GALLONS4]])</f>
        <v>0</v>
      </c>
      <c r="Y12" s="24" t="s">
        <v>24</v>
      </c>
      <c r="Z12">
        <f t="shared" si="1"/>
        <v>0</v>
      </c>
    </row>
    <row r="13" spans="1:26" x14ac:dyDescent="0.15">
      <c r="A13" s="27">
        <v>2019</v>
      </c>
      <c r="B13" s="25" t="s">
        <v>25</v>
      </c>
      <c r="F13">
        <f t="shared" si="0"/>
        <v>0</v>
      </c>
      <c r="G13" s="25">
        <v>2017</v>
      </c>
      <c r="H13" s="25" t="s">
        <v>25</v>
      </c>
      <c r="I13">
        <v>0</v>
      </c>
      <c r="J13">
        <v>85</v>
      </c>
      <c r="K13" s="15"/>
      <c r="L13">
        <f>SUM(Table14[[#This Row],[Pilot ]:[EDS GALLONS2]])</f>
        <v>85</v>
      </c>
      <c r="M13" s="25">
        <v>2015</v>
      </c>
      <c r="N13" s="25" t="s">
        <v>25</v>
      </c>
      <c r="O13">
        <v>85</v>
      </c>
      <c r="P13">
        <v>0</v>
      </c>
      <c r="R13">
        <f>SUM(Table14[[#This Row],[Pilot2]:[EDS GALLONS3]])</f>
        <v>85</v>
      </c>
      <c r="S13" s="25">
        <v>2013</v>
      </c>
      <c r="T13" s="25" t="s">
        <v>25</v>
      </c>
      <c r="U13">
        <v>162</v>
      </c>
      <c r="V13">
        <v>186</v>
      </c>
      <c r="X13">
        <f>SUM(Table14[[#This Row],[Pilot 2]:[EDS GALLONS4]])</f>
        <v>348</v>
      </c>
      <c r="Y13" s="25" t="s">
        <v>25</v>
      </c>
      <c r="Z13">
        <f t="shared" si="1"/>
        <v>518</v>
      </c>
    </row>
    <row r="14" spans="1:26" x14ac:dyDescent="0.15">
      <c r="A14" s="26">
        <v>2019</v>
      </c>
      <c r="B14" s="24" t="s">
        <v>26</v>
      </c>
      <c r="F14">
        <f t="shared" si="0"/>
        <v>0</v>
      </c>
      <c r="G14" s="24">
        <v>2017</v>
      </c>
      <c r="H14" s="24" t="s">
        <v>26</v>
      </c>
      <c r="I14">
        <v>0</v>
      </c>
      <c r="J14">
        <v>0</v>
      </c>
      <c r="K14" s="15"/>
      <c r="L14">
        <f>SUM(Table14[[#This Row],[Pilot ]:[EDS GALLONS2]])</f>
        <v>0</v>
      </c>
      <c r="M14" s="24">
        <v>2015</v>
      </c>
      <c r="N14" s="24" t="s">
        <v>26</v>
      </c>
      <c r="O14">
        <v>0</v>
      </c>
      <c r="P14">
        <v>0</v>
      </c>
      <c r="R14">
        <f>SUM(Table14[[#This Row],[Pilot2]:[EDS GALLONS3]])</f>
        <v>0</v>
      </c>
      <c r="S14" s="24">
        <v>2013</v>
      </c>
      <c r="T14" s="24" t="s">
        <v>26</v>
      </c>
      <c r="U14">
        <v>0</v>
      </c>
      <c r="V14">
        <v>0</v>
      </c>
      <c r="X14">
        <f>SUM(Table14[[#This Row],[Pilot 2]:[EDS GALLONS4]])</f>
        <v>0</v>
      </c>
      <c r="Y14" s="24" t="s">
        <v>26</v>
      </c>
      <c r="Z14">
        <f t="shared" si="1"/>
        <v>0</v>
      </c>
    </row>
    <row r="15" spans="1:26" x14ac:dyDescent="0.15">
      <c r="A15" s="27">
        <v>2019</v>
      </c>
      <c r="B15" s="25" t="s">
        <v>54</v>
      </c>
      <c r="F15">
        <f t="shared" si="0"/>
        <v>0</v>
      </c>
      <c r="G15" s="25">
        <v>2017</v>
      </c>
      <c r="H15" s="25" t="s">
        <v>54</v>
      </c>
      <c r="I15">
        <v>0</v>
      </c>
      <c r="J15">
        <v>0</v>
      </c>
      <c r="K15" s="15"/>
      <c r="L15">
        <f>SUM(Table14[[#This Row],[Pilot ]:[EDS GALLONS2]])</f>
        <v>0</v>
      </c>
      <c r="M15" s="25">
        <v>2015</v>
      </c>
      <c r="N15" s="25" t="s">
        <v>54</v>
      </c>
      <c r="O15">
        <v>0</v>
      </c>
      <c r="P15">
        <v>0</v>
      </c>
      <c r="R15">
        <f>SUM(Table14[[#This Row],[Pilot2]:[EDS GALLONS3]])</f>
        <v>0</v>
      </c>
      <c r="S15" s="25">
        <v>2013</v>
      </c>
      <c r="T15" s="25" t="s">
        <v>54</v>
      </c>
      <c r="U15">
        <v>0</v>
      </c>
      <c r="V15">
        <v>0</v>
      </c>
      <c r="X15">
        <f>SUM(Table14[[#This Row],[Pilot 2]:[EDS GALLONS4]])</f>
        <v>0</v>
      </c>
      <c r="Y15" s="25" t="s">
        <v>54</v>
      </c>
      <c r="Z15">
        <f t="shared" si="1"/>
        <v>0</v>
      </c>
    </row>
    <row r="16" spans="1:26" x14ac:dyDescent="0.15">
      <c r="A16" s="26">
        <v>2019</v>
      </c>
      <c r="B16" s="24" t="s">
        <v>55</v>
      </c>
      <c r="F16">
        <f t="shared" si="0"/>
        <v>0</v>
      </c>
      <c r="G16" s="24">
        <v>2017</v>
      </c>
      <c r="H16" s="24" t="s">
        <v>55</v>
      </c>
      <c r="I16">
        <v>0</v>
      </c>
      <c r="J16">
        <v>0</v>
      </c>
      <c r="K16" s="15"/>
      <c r="L16">
        <f>SUM(Table14[[#This Row],[Pilot ]:[EDS GALLONS2]])</f>
        <v>0</v>
      </c>
      <c r="M16" s="24">
        <v>2015</v>
      </c>
      <c r="N16" s="24" t="s">
        <v>55</v>
      </c>
      <c r="O16">
        <v>0</v>
      </c>
      <c r="P16">
        <v>0</v>
      </c>
      <c r="R16">
        <f>SUM(Table14[[#This Row],[Pilot2]:[EDS GALLONS3]])</f>
        <v>0</v>
      </c>
      <c r="S16" s="24">
        <v>2013</v>
      </c>
      <c r="T16" s="24" t="s">
        <v>55</v>
      </c>
      <c r="U16">
        <v>0</v>
      </c>
      <c r="V16">
        <v>0</v>
      </c>
      <c r="X16">
        <f>SUM(Table14[[#This Row],[Pilot 2]:[EDS GALLONS4]])</f>
        <v>0</v>
      </c>
      <c r="Y16" s="24" t="s">
        <v>55</v>
      </c>
      <c r="Z16">
        <f t="shared" si="1"/>
        <v>0</v>
      </c>
    </row>
    <row r="17" spans="1:26" x14ac:dyDescent="0.15">
      <c r="A17" s="27">
        <v>2019</v>
      </c>
      <c r="B17" s="23" t="s">
        <v>28</v>
      </c>
      <c r="F17">
        <f t="shared" si="0"/>
        <v>0</v>
      </c>
      <c r="G17" s="25">
        <v>2017</v>
      </c>
      <c r="H17" s="23" t="s">
        <v>28</v>
      </c>
      <c r="I17">
        <v>0</v>
      </c>
      <c r="J17">
        <v>0</v>
      </c>
      <c r="K17" s="15"/>
      <c r="L17">
        <f>SUM(Table14[[#This Row],[Pilot ]:[EDS GALLONS2]])</f>
        <v>0</v>
      </c>
      <c r="M17" s="25">
        <v>2015</v>
      </c>
      <c r="N17" s="23" t="s">
        <v>28</v>
      </c>
      <c r="O17">
        <v>0</v>
      </c>
      <c r="P17">
        <v>0</v>
      </c>
      <c r="R17">
        <f>SUM(Table14[[#This Row],[Pilot2]:[EDS GALLONS3]])</f>
        <v>0</v>
      </c>
      <c r="S17" s="25">
        <v>2013</v>
      </c>
      <c r="T17" s="23" t="s">
        <v>28</v>
      </c>
      <c r="U17">
        <v>0</v>
      </c>
      <c r="V17">
        <v>0</v>
      </c>
      <c r="X17">
        <f>SUM(Table14[[#This Row],[Pilot 2]:[EDS GALLONS4]])</f>
        <v>0</v>
      </c>
      <c r="Y17" s="23" t="s">
        <v>28</v>
      </c>
      <c r="Z17">
        <f t="shared" si="1"/>
        <v>0</v>
      </c>
    </row>
    <row r="18" spans="1:26" x14ac:dyDescent="0.15">
      <c r="A18" s="26">
        <v>2019</v>
      </c>
      <c r="B18" s="24" t="s">
        <v>27</v>
      </c>
      <c r="F18">
        <f t="shared" si="0"/>
        <v>0</v>
      </c>
      <c r="G18" s="24">
        <v>2017</v>
      </c>
      <c r="H18" s="24" t="s">
        <v>27</v>
      </c>
      <c r="I18">
        <v>0</v>
      </c>
      <c r="J18">
        <v>0</v>
      </c>
      <c r="K18" s="15"/>
      <c r="L18">
        <f>SUM(Table14[[#This Row],[Pilot ]:[EDS GALLONS2]])</f>
        <v>0</v>
      </c>
      <c r="M18" s="24">
        <v>2015</v>
      </c>
      <c r="N18" s="24" t="s">
        <v>27</v>
      </c>
      <c r="O18">
        <v>0</v>
      </c>
      <c r="P18">
        <v>0</v>
      </c>
      <c r="R18">
        <f>SUM(Table14[[#This Row],[Pilot2]:[EDS GALLONS3]])</f>
        <v>0</v>
      </c>
      <c r="S18" s="24">
        <v>2013</v>
      </c>
      <c r="T18" s="24" t="s">
        <v>27</v>
      </c>
      <c r="U18">
        <v>100</v>
      </c>
      <c r="V18">
        <v>0</v>
      </c>
      <c r="X18">
        <f>SUM(Table14[[#This Row],[Pilot 2]:[EDS GALLONS4]])</f>
        <v>100</v>
      </c>
      <c r="Y18" s="24" t="s">
        <v>27</v>
      </c>
      <c r="Z18">
        <f t="shared" si="1"/>
        <v>100</v>
      </c>
    </row>
    <row r="19" spans="1:26" x14ac:dyDescent="0.15">
      <c r="A19" s="27">
        <v>2019</v>
      </c>
      <c r="B19" s="25" t="s">
        <v>4</v>
      </c>
      <c r="F19">
        <f t="shared" si="0"/>
        <v>0</v>
      </c>
      <c r="G19" s="25">
        <v>2017</v>
      </c>
      <c r="H19" s="25" t="s">
        <v>4</v>
      </c>
      <c r="I19">
        <v>0</v>
      </c>
      <c r="J19">
        <v>0</v>
      </c>
      <c r="K19" s="15"/>
      <c r="L19">
        <f>SUM(Table14[[#This Row],[Pilot ]:[EDS GALLONS2]])</f>
        <v>0</v>
      </c>
      <c r="M19" s="25">
        <v>2015</v>
      </c>
      <c r="N19" s="25" t="s">
        <v>4</v>
      </c>
      <c r="O19">
        <v>0</v>
      </c>
      <c r="P19">
        <v>0</v>
      </c>
      <c r="R19">
        <f>SUM(Table14[[#This Row],[Pilot2]:[EDS GALLONS3]])</f>
        <v>0</v>
      </c>
      <c r="S19" s="25">
        <v>2013</v>
      </c>
      <c r="T19" s="25" t="s">
        <v>4</v>
      </c>
      <c r="U19">
        <v>0</v>
      </c>
      <c r="V19">
        <v>0</v>
      </c>
      <c r="X19">
        <f>SUM(Table14[[#This Row],[Pilot 2]:[EDS GALLONS4]])</f>
        <v>0</v>
      </c>
      <c r="Y19" s="25" t="s">
        <v>4</v>
      </c>
      <c r="Z19">
        <f t="shared" si="1"/>
        <v>0</v>
      </c>
    </row>
    <row r="20" spans="1:26" x14ac:dyDescent="0.15">
      <c r="A20" s="26">
        <v>2019</v>
      </c>
      <c r="B20" s="24"/>
      <c r="F20">
        <f t="shared" si="0"/>
        <v>0</v>
      </c>
      <c r="G20" s="24">
        <v>2017</v>
      </c>
      <c r="H20" s="24"/>
      <c r="I20">
        <v>0</v>
      </c>
      <c r="J20">
        <v>0</v>
      </c>
      <c r="K20" s="15"/>
      <c r="L20">
        <f>SUM(Table14[[#This Row],[Pilot ]:[EDS GALLONS2]])</f>
        <v>0</v>
      </c>
      <c r="M20" s="24">
        <v>2015</v>
      </c>
      <c r="N20" s="24"/>
      <c r="O20">
        <v>0</v>
      </c>
      <c r="P20">
        <v>0</v>
      </c>
      <c r="R20">
        <f>SUM(Table14[[#This Row],[Pilot2]:[EDS GALLONS3]])</f>
        <v>0</v>
      </c>
      <c r="S20" s="24">
        <v>2013</v>
      </c>
      <c r="T20" s="24"/>
      <c r="U20">
        <v>0</v>
      </c>
      <c r="V20">
        <v>0</v>
      </c>
      <c r="X20">
        <f>SUM(Table14[[#This Row],[Pilot 2]:[EDS GALLONS4]])</f>
        <v>0</v>
      </c>
      <c r="Y20" s="24"/>
      <c r="Z20">
        <f t="shared" si="1"/>
        <v>0</v>
      </c>
    </row>
    <row r="21" spans="1:26" x14ac:dyDescent="0.15">
      <c r="A21" s="27">
        <v>2019</v>
      </c>
      <c r="B21" s="25" t="s">
        <v>33</v>
      </c>
      <c r="F21">
        <f t="shared" si="0"/>
        <v>0</v>
      </c>
      <c r="G21" s="25">
        <v>2017</v>
      </c>
      <c r="H21" s="25" t="s">
        <v>33</v>
      </c>
      <c r="I21">
        <v>0</v>
      </c>
      <c r="J21">
        <v>0</v>
      </c>
      <c r="K21" s="15"/>
      <c r="L21">
        <f>SUM(Table14[[#This Row],[Pilot ]:[EDS GALLONS2]])</f>
        <v>0</v>
      </c>
      <c r="M21" s="24">
        <v>2015</v>
      </c>
      <c r="N21" s="25" t="s">
        <v>33</v>
      </c>
      <c r="O21">
        <v>0</v>
      </c>
      <c r="P21">
        <v>0</v>
      </c>
      <c r="R21">
        <f>SUM(Table14[[#This Row],[Pilot2]:[EDS GALLONS3]])</f>
        <v>0</v>
      </c>
      <c r="S21" s="25">
        <v>2013</v>
      </c>
      <c r="T21" s="25" t="s">
        <v>33</v>
      </c>
      <c r="U21">
        <v>0</v>
      </c>
      <c r="V21">
        <v>0</v>
      </c>
      <c r="X21">
        <f>SUM(Table14[[#This Row],[Pilot 2]:[EDS GALLONS4]])</f>
        <v>0</v>
      </c>
      <c r="Y21" s="25" t="s">
        <v>33</v>
      </c>
      <c r="Z21">
        <f t="shared" si="1"/>
        <v>0</v>
      </c>
    </row>
    <row r="22" spans="1:26" x14ac:dyDescent="0.15">
      <c r="A22" s="26">
        <v>2019</v>
      </c>
      <c r="B22" s="24" t="s">
        <v>13</v>
      </c>
      <c r="F22">
        <f t="shared" si="0"/>
        <v>0</v>
      </c>
      <c r="G22" s="24">
        <v>2017</v>
      </c>
      <c r="H22" s="24" t="s">
        <v>13</v>
      </c>
      <c r="I22">
        <v>89</v>
      </c>
      <c r="J22">
        <v>225</v>
      </c>
      <c r="K22" s="15"/>
      <c r="L22">
        <f>SUM(Table14[[#This Row],[Pilot ]:[EDS GALLONS2]])</f>
        <v>314</v>
      </c>
      <c r="M22" s="24">
        <v>2015</v>
      </c>
      <c r="N22" s="24" t="s">
        <v>13</v>
      </c>
      <c r="O22">
        <v>225</v>
      </c>
      <c r="P22">
        <v>0</v>
      </c>
      <c r="R22">
        <f>SUM(Table14[[#This Row],[Pilot2]:[EDS GALLONS3]])</f>
        <v>225</v>
      </c>
      <c r="S22" s="24">
        <v>2013</v>
      </c>
      <c r="T22" s="24" t="s">
        <v>13</v>
      </c>
      <c r="U22">
        <v>0</v>
      </c>
      <c r="V22">
        <v>0</v>
      </c>
      <c r="X22">
        <f>SUM(Table14[[#This Row],[Pilot 2]:[EDS GALLONS4]])</f>
        <v>0</v>
      </c>
      <c r="Y22" s="24" t="s">
        <v>13</v>
      </c>
      <c r="Z22">
        <f t="shared" si="1"/>
        <v>539</v>
      </c>
    </row>
    <row r="23" spans="1:26" x14ac:dyDescent="0.15">
      <c r="A23" s="27">
        <v>2019</v>
      </c>
      <c r="B23" s="25" t="s">
        <v>14</v>
      </c>
      <c r="F23">
        <f t="shared" si="0"/>
        <v>0</v>
      </c>
      <c r="G23" s="25">
        <v>2017</v>
      </c>
      <c r="H23" s="25" t="s">
        <v>14</v>
      </c>
      <c r="I23">
        <v>184</v>
      </c>
      <c r="J23">
        <v>192</v>
      </c>
      <c r="K23" s="15"/>
      <c r="L23">
        <f>SUM(Table14[[#This Row],[Pilot ]:[EDS GALLONS2]])</f>
        <v>376</v>
      </c>
      <c r="M23" s="25">
        <v>2015</v>
      </c>
      <c r="N23" s="25" t="s">
        <v>14</v>
      </c>
      <c r="O23">
        <v>192</v>
      </c>
      <c r="P23">
        <v>0</v>
      </c>
      <c r="R23">
        <f>SUM(Table14[[#This Row],[Pilot2]:[EDS GALLONS3]])</f>
        <v>192</v>
      </c>
      <c r="S23" s="25">
        <v>2013</v>
      </c>
      <c r="T23" s="25" t="s">
        <v>14</v>
      </c>
      <c r="U23">
        <v>294</v>
      </c>
      <c r="V23">
        <v>304</v>
      </c>
      <c r="X23">
        <f>SUM(Table14[[#This Row],[Pilot 2]:[EDS GALLONS4]])</f>
        <v>598</v>
      </c>
      <c r="Y23" s="25" t="s">
        <v>14</v>
      </c>
      <c r="Z23">
        <f t="shared" si="1"/>
        <v>1166</v>
      </c>
    </row>
    <row r="24" spans="1:26" x14ac:dyDescent="0.15">
      <c r="A24" s="26">
        <v>2019</v>
      </c>
      <c r="B24" s="24" t="s">
        <v>12</v>
      </c>
      <c r="F24">
        <f t="shared" si="0"/>
        <v>0</v>
      </c>
      <c r="G24" s="24">
        <v>2017</v>
      </c>
      <c r="H24" s="24" t="s">
        <v>12</v>
      </c>
      <c r="I24">
        <v>0</v>
      </c>
      <c r="J24">
        <v>0</v>
      </c>
      <c r="K24" s="15"/>
      <c r="L24">
        <f>SUM(Table14[[#This Row],[Pilot ]:[EDS GALLONS2]])</f>
        <v>0</v>
      </c>
      <c r="M24" s="24">
        <v>2015</v>
      </c>
      <c r="N24" s="24" t="s">
        <v>12</v>
      </c>
      <c r="O24">
        <v>0</v>
      </c>
      <c r="P24">
        <v>0</v>
      </c>
      <c r="R24">
        <f>SUM(Table14[[#This Row],[Pilot2]:[EDS GALLONS3]])</f>
        <v>0</v>
      </c>
      <c r="S24" s="24">
        <v>2013</v>
      </c>
      <c r="T24" s="24" t="s">
        <v>12</v>
      </c>
      <c r="U24">
        <v>0</v>
      </c>
      <c r="V24">
        <v>0</v>
      </c>
      <c r="X24">
        <f>SUM(Table14[[#This Row],[Pilot 2]:[EDS GALLONS4]])</f>
        <v>0</v>
      </c>
      <c r="Y24" s="24" t="s">
        <v>12</v>
      </c>
      <c r="Z24">
        <f t="shared" si="1"/>
        <v>0</v>
      </c>
    </row>
    <row r="25" spans="1:26" x14ac:dyDescent="0.15">
      <c r="A25" s="27">
        <v>2019</v>
      </c>
      <c r="B25" s="25" t="s">
        <v>5</v>
      </c>
      <c r="C25">
        <v>463</v>
      </c>
      <c r="D25">
        <v>956</v>
      </c>
      <c r="F25">
        <f t="shared" si="0"/>
        <v>1419</v>
      </c>
      <c r="G25" s="25">
        <v>2017</v>
      </c>
      <c r="H25" s="25" t="s">
        <v>5</v>
      </c>
      <c r="I25">
        <v>0</v>
      </c>
      <c r="J25">
        <v>859</v>
      </c>
      <c r="K25" s="15"/>
      <c r="L25">
        <f>SUM(Table14[[#This Row],[Pilot ]:[EDS GALLONS2]])</f>
        <v>859</v>
      </c>
      <c r="M25" s="25">
        <v>2015</v>
      </c>
      <c r="N25" s="25" t="s">
        <v>5</v>
      </c>
      <c r="O25">
        <v>566</v>
      </c>
      <c r="P25">
        <v>293</v>
      </c>
      <c r="R25">
        <f>SUM(Table14[[#This Row],[Pilot2]:[EDS GALLONS3]])</f>
        <v>859</v>
      </c>
      <c r="S25" s="25">
        <v>2013</v>
      </c>
      <c r="T25" s="25" t="s">
        <v>5</v>
      </c>
      <c r="U25">
        <v>359</v>
      </c>
      <c r="V25">
        <v>584</v>
      </c>
      <c r="X25">
        <f>SUM(Table14[[#This Row],[Pilot 2]:[EDS GALLONS4]])</f>
        <v>943</v>
      </c>
      <c r="Y25" s="25" t="s">
        <v>5</v>
      </c>
      <c r="Z25">
        <f t="shared" si="1"/>
        <v>4080</v>
      </c>
    </row>
    <row r="26" spans="1:26" x14ac:dyDescent="0.15">
      <c r="A26" s="26">
        <v>2019</v>
      </c>
      <c r="B26" s="24" t="s">
        <v>29</v>
      </c>
      <c r="F26">
        <f t="shared" si="0"/>
        <v>0</v>
      </c>
      <c r="G26" s="24">
        <v>2017</v>
      </c>
      <c r="H26" s="24" t="s">
        <v>29</v>
      </c>
      <c r="I26">
        <v>0</v>
      </c>
      <c r="J26">
        <v>0</v>
      </c>
      <c r="K26" s="15"/>
      <c r="L26">
        <f>SUM(Table14[[#This Row],[Pilot ]:[EDS GALLONS2]])</f>
        <v>0</v>
      </c>
      <c r="M26" s="24">
        <v>2015</v>
      </c>
      <c r="N26" s="24" t="s">
        <v>29</v>
      </c>
      <c r="O26">
        <v>0</v>
      </c>
      <c r="P26">
        <v>0</v>
      </c>
      <c r="R26">
        <f>SUM(Table14[[#This Row],[Pilot2]:[EDS GALLONS3]])</f>
        <v>0</v>
      </c>
      <c r="S26" s="24">
        <v>2013</v>
      </c>
      <c r="T26" s="24" t="s">
        <v>29</v>
      </c>
      <c r="U26">
        <v>0</v>
      </c>
      <c r="V26">
        <v>0</v>
      </c>
      <c r="X26">
        <f>SUM(Table14[[#This Row],[Pilot 2]:[EDS GALLONS4]])</f>
        <v>0</v>
      </c>
      <c r="Y26" s="24" t="s">
        <v>29</v>
      </c>
      <c r="Z26">
        <f t="shared" si="1"/>
        <v>0</v>
      </c>
    </row>
    <row r="27" spans="1:26" x14ac:dyDescent="0.15">
      <c r="A27" s="27">
        <v>2019</v>
      </c>
      <c r="B27" s="25" t="s">
        <v>15</v>
      </c>
      <c r="F27">
        <f t="shared" si="0"/>
        <v>0</v>
      </c>
      <c r="G27" s="25">
        <v>2017</v>
      </c>
      <c r="H27" s="25" t="s">
        <v>15</v>
      </c>
      <c r="I27">
        <v>0</v>
      </c>
      <c r="J27">
        <v>0</v>
      </c>
      <c r="K27" s="15"/>
      <c r="L27">
        <f>SUM(Table14[[#This Row],[Pilot ]:[EDS GALLONS2]])</f>
        <v>0</v>
      </c>
      <c r="M27" s="25">
        <v>2015</v>
      </c>
      <c r="N27" s="25" t="s">
        <v>15</v>
      </c>
      <c r="O27">
        <v>0</v>
      </c>
      <c r="P27">
        <v>0</v>
      </c>
      <c r="R27">
        <f>SUM(Table14[[#This Row],[Pilot2]:[EDS GALLONS3]])</f>
        <v>0</v>
      </c>
      <c r="S27" s="25">
        <v>2013</v>
      </c>
      <c r="T27" s="25" t="s">
        <v>15</v>
      </c>
      <c r="U27">
        <v>0</v>
      </c>
      <c r="V27">
        <v>166</v>
      </c>
      <c r="X27">
        <f>SUM(Table14[[#This Row],[Pilot 2]:[EDS GALLONS4]])</f>
        <v>166</v>
      </c>
      <c r="Y27" s="25" t="s">
        <v>15</v>
      </c>
      <c r="Z27">
        <f t="shared" si="1"/>
        <v>166</v>
      </c>
    </row>
    <row r="28" spans="1:26" x14ac:dyDescent="0.15">
      <c r="A28" s="26">
        <v>2019</v>
      </c>
      <c r="B28" s="24" t="s">
        <v>6</v>
      </c>
      <c r="C28">
        <v>109</v>
      </c>
      <c r="F28">
        <f t="shared" si="0"/>
        <v>109</v>
      </c>
      <c r="G28" s="24">
        <v>2017</v>
      </c>
      <c r="H28" s="24" t="s">
        <v>6</v>
      </c>
      <c r="I28">
        <v>0</v>
      </c>
      <c r="J28">
        <v>0</v>
      </c>
      <c r="K28" s="15"/>
      <c r="L28">
        <f>SUM(Table14[[#This Row],[Pilot ]:[EDS GALLONS2]])</f>
        <v>0</v>
      </c>
      <c r="M28" s="24">
        <v>2015</v>
      </c>
      <c r="N28" s="24" t="s">
        <v>6</v>
      </c>
      <c r="O28">
        <v>0</v>
      </c>
      <c r="P28">
        <v>0</v>
      </c>
      <c r="R28">
        <f>SUM(Table14[[#This Row],[Pilot2]:[EDS GALLONS3]])</f>
        <v>0</v>
      </c>
      <c r="S28" s="24">
        <v>2013</v>
      </c>
      <c r="T28" s="24" t="s">
        <v>6</v>
      </c>
      <c r="U28">
        <v>190</v>
      </c>
      <c r="V28">
        <v>0</v>
      </c>
      <c r="X28">
        <f>SUM(Table14[[#This Row],[Pilot 2]:[EDS GALLONS4]])</f>
        <v>190</v>
      </c>
      <c r="Y28" s="24" t="s">
        <v>6</v>
      </c>
      <c r="Z28">
        <f t="shared" si="1"/>
        <v>299</v>
      </c>
    </row>
    <row r="29" spans="1:26" x14ac:dyDescent="0.15">
      <c r="A29" s="27">
        <v>2019</v>
      </c>
      <c r="B29" s="25" t="s">
        <v>34</v>
      </c>
      <c r="F29">
        <f t="shared" si="0"/>
        <v>0</v>
      </c>
      <c r="G29" s="25">
        <v>2017</v>
      </c>
      <c r="H29" s="25" t="s">
        <v>34</v>
      </c>
      <c r="I29">
        <v>0</v>
      </c>
      <c r="J29">
        <v>0</v>
      </c>
      <c r="K29" s="15"/>
      <c r="L29">
        <f>SUM(Table14[[#This Row],[Pilot ]:[EDS GALLONS2]])</f>
        <v>0</v>
      </c>
      <c r="M29" s="25">
        <v>2015</v>
      </c>
      <c r="N29" s="25" t="s">
        <v>34</v>
      </c>
      <c r="O29">
        <v>0</v>
      </c>
      <c r="P29">
        <v>0</v>
      </c>
      <c r="R29">
        <f>SUM(Table14[[#This Row],[Pilot2]:[EDS GALLONS3]])</f>
        <v>0</v>
      </c>
      <c r="S29" s="25">
        <v>2013</v>
      </c>
      <c r="T29" s="25" t="s">
        <v>34</v>
      </c>
      <c r="U29">
        <v>0</v>
      </c>
      <c r="V29">
        <v>0</v>
      </c>
      <c r="X29">
        <f>SUM(Table14[[#This Row],[Pilot 2]:[EDS GALLONS4]])</f>
        <v>0</v>
      </c>
      <c r="Y29" s="25" t="s">
        <v>34</v>
      </c>
      <c r="Z29">
        <f t="shared" si="1"/>
        <v>0</v>
      </c>
    </row>
    <row r="30" spans="1:26" x14ac:dyDescent="0.15">
      <c r="A30" s="26">
        <v>2019</v>
      </c>
      <c r="B30" s="24" t="s">
        <v>16</v>
      </c>
      <c r="F30">
        <f t="shared" si="0"/>
        <v>0</v>
      </c>
      <c r="G30" s="24">
        <v>2017</v>
      </c>
      <c r="H30" s="24" t="s">
        <v>16</v>
      </c>
      <c r="I30">
        <v>0</v>
      </c>
      <c r="J30">
        <v>0</v>
      </c>
      <c r="K30" s="15"/>
      <c r="L30">
        <f>SUM(Table14[[#This Row],[Pilot ]:[EDS GALLONS2]])</f>
        <v>0</v>
      </c>
      <c r="M30" s="24">
        <v>2015</v>
      </c>
      <c r="N30" s="24" t="s">
        <v>16</v>
      </c>
      <c r="O30">
        <v>0</v>
      </c>
      <c r="P30">
        <v>0</v>
      </c>
      <c r="R30">
        <f>SUM(Table14[[#This Row],[Pilot2]:[EDS GALLONS3]])</f>
        <v>0</v>
      </c>
      <c r="S30" s="24">
        <v>2013</v>
      </c>
      <c r="T30" s="24" t="s">
        <v>16</v>
      </c>
      <c r="U30">
        <v>0</v>
      </c>
      <c r="V30">
        <v>0</v>
      </c>
      <c r="X30">
        <f>SUM(Table14[[#This Row],[Pilot 2]:[EDS GALLONS4]])</f>
        <v>0</v>
      </c>
      <c r="Y30" s="24" t="s">
        <v>16</v>
      </c>
      <c r="Z30">
        <f t="shared" si="1"/>
        <v>0</v>
      </c>
    </row>
    <row r="31" spans="1:26" x14ac:dyDescent="0.15">
      <c r="A31" s="27">
        <v>2019</v>
      </c>
      <c r="B31" s="25" t="s">
        <v>30</v>
      </c>
      <c r="F31">
        <f t="shared" si="0"/>
        <v>0</v>
      </c>
      <c r="G31" s="25">
        <v>2017</v>
      </c>
      <c r="H31" s="25" t="s">
        <v>30</v>
      </c>
      <c r="I31">
        <v>0</v>
      </c>
      <c r="J31">
        <v>0</v>
      </c>
      <c r="K31" s="15"/>
      <c r="L31">
        <f>SUM(Table14[[#This Row],[Pilot ]:[EDS GALLONS2]])</f>
        <v>0</v>
      </c>
      <c r="M31" s="25">
        <v>2015</v>
      </c>
      <c r="N31" s="25" t="s">
        <v>30</v>
      </c>
      <c r="O31">
        <v>0</v>
      </c>
      <c r="P31">
        <v>0</v>
      </c>
      <c r="R31">
        <f>SUM(Table14[[#This Row],[Pilot2]:[EDS GALLONS3]])</f>
        <v>0</v>
      </c>
      <c r="S31" s="25">
        <v>2013</v>
      </c>
      <c r="T31" s="25" t="s">
        <v>30</v>
      </c>
      <c r="U31">
        <v>0</v>
      </c>
      <c r="V31">
        <v>197</v>
      </c>
      <c r="X31">
        <f>SUM(Table14[[#This Row],[Pilot 2]:[EDS GALLONS4]])</f>
        <v>197</v>
      </c>
      <c r="Y31" s="25" t="s">
        <v>30</v>
      </c>
      <c r="Z31">
        <f t="shared" si="1"/>
        <v>197</v>
      </c>
    </row>
    <row r="32" spans="1:26" x14ac:dyDescent="0.15">
      <c r="A32" s="26">
        <v>2019</v>
      </c>
      <c r="B32" s="24" t="s">
        <v>17</v>
      </c>
      <c r="F32">
        <f t="shared" si="0"/>
        <v>0</v>
      </c>
      <c r="G32" s="24">
        <v>2017</v>
      </c>
      <c r="H32" s="24" t="s">
        <v>17</v>
      </c>
      <c r="I32">
        <v>0</v>
      </c>
      <c r="J32">
        <v>1011</v>
      </c>
      <c r="K32" s="15"/>
      <c r="L32">
        <f>SUM(Table14[[#This Row],[Pilot ]:[EDS GALLONS2]])</f>
        <v>1011</v>
      </c>
      <c r="M32" s="24">
        <v>2015</v>
      </c>
      <c r="N32" s="24" t="s">
        <v>17</v>
      </c>
      <c r="O32">
        <v>826</v>
      </c>
      <c r="P32">
        <v>185</v>
      </c>
      <c r="R32">
        <f>SUM(Table14[[#This Row],[Pilot2]:[EDS GALLONS3]])</f>
        <v>1011</v>
      </c>
      <c r="S32" s="24">
        <v>2013</v>
      </c>
      <c r="T32" s="24" t="s">
        <v>17</v>
      </c>
      <c r="U32">
        <v>183</v>
      </c>
      <c r="V32">
        <v>727</v>
      </c>
      <c r="X32">
        <f>SUM(Table14[[#This Row],[Pilot 2]:[EDS GALLONS4]])</f>
        <v>910</v>
      </c>
      <c r="Y32" s="24" t="s">
        <v>17</v>
      </c>
      <c r="Z32">
        <f t="shared" si="1"/>
        <v>2932</v>
      </c>
    </row>
    <row r="33" spans="1:26" x14ac:dyDescent="0.15">
      <c r="A33" s="27">
        <v>2019</v>
      </c>
      <c r="B33" s="25" t="s">
        <v>7</v>
      </c>
      <c r="F33">
        <f t="shared" si="0"/>
        <v>0</v>
      </c>
      <c r="G33" s="25">
        <v>2017</v>
      </c>
      <c r="H33" s="25" t="s">
        <v>7</v>
      </c>
      <c r="I33">
        <v>0</v>
      </c>
      <c r="K33" s="15"/>
      <c r="L33">
        <f>SUM(Table14[[#This Row],[Pilot ]:[EDS GALLONS2]])</f>
        <v>0</v>
      </c>
      <c r="M33" s="25">
        <v>2015</v>
      </c>
      <c r="N33" s="25" t="s">
        <v>7</v>
      </c>
      <c r="O33">
        <v>0</v>
      </c>
      <c r="P33">
        <v>0</v>
      </c>
      <c r="R33">
        <f>SUM(Table14[[#This Row],[Pilot2]:[EDS GALLONS3]])</f>
        <v>0</v>
      </c>
      <c r="S33" s="25">
        <v>2013</v>
      </c>
      <c r="T33" s="25" t="s">
        <v>7</v>
      </c>
      <c r="U33">
        <v>0</v>
      </c>
      <c r="V33">
        <v>0</v>
      </c>
      <c r="X33">
        <f>SUM(Table14[[#This Row],[Pilot 2]:[EDS GALLONS4]])</f>
        <v>0</v>
      </c>
      <c r="Y33" s="25" t="s">
        <v>7</v>
      </c>
      <c r="Z33">
        <f t="shared" si="1"/>
        <v>0</v>
      </c>
    </row>
    <row r="34" spans="1:26" x14ac:dyDescent="0.15">
      <c r="A34" s="26">
        <v>2019</v>
      </c>
      <c r="B34" s="24" t="s">
        <v>56</v>
      </c>
      <c r="F34">
        <f t="shared" si="0"/>
        <v>0</v>
      </c>
      <c r="G34" s="24">
        <v>2017</v>
      </c>
      <c r="H34" s="24" t="s">
        <v>56</v>
      </c>
      <c r="I34">
        <v>0</v>
      </c>
      <c r="K34" s="15"/>
      <c r="L34">
        <f>SUM(Table14[[#This Row],[Pilot ]:[EDS GALLONS2]])</f>
        <v>0</v>
      </c>
      <c r="M34" s="24">
        <v>2015</v>
      </c>
      <c r="N34" s="24" t="s">
        <v>56</v>
      </c>
      <c r="O34">
        <v>0</v>
      </c>
      <c r="P34">
        <v>0</v>
      </c>
      <c r="R34">
        <f>SUM(Table14[[#This Row],[Pilot2]:[EDS GALLONS3]])</f>
        <v>0</v>
      </c>
      <c r="S34" s="24">
        <v>2013</v>
      </c>
      <c r="T34" s="24" t="s">
        <v>56</v>
      </c>
      <c r="U34">
        <v>0</v>
      </c>
      <c r="V34">
        <v>0</v>
      </c>
      <c r="X34">
        <f>SUM(Table14[[#This Row],[Pilot 2]:[EDS GALLONS4]])</f>
        <v>0</v>
      </c>
      <c r="Y34" s="24" t="s">
        <v>56</v>
      </c>
      <c r="Z34">
        <f t="shared" si="1"/>
        <v>0</v>
      </c>
    </row>
    <row r="35" spans="1:26" x14ac:dyDescent="0.15">
      <c r="A35" s="27">
        <v>2019</v>
      </c>
      <c r="B35" s="25" t="s">
        <v>8</v>
      </c>
      <c r="F35">
        <f t="shared" si="0"/>
        <v>0</v>
      </c>
      <c r="G35" s="25">
        <v>2017</v>
      </c>
      <c r="H35" s="25" t="s">
        <v>8</v>
      </c>
      <c r="I35">
        <v>0</v>
      </c>
      <c r="K35" s="15"/>
      <c r="L35">
        <f>SUM(Table14[[#This Row],[Pilot ]:[EDS GALLONS2]])</f>
        <v>0</v>
      </c>
      <c r="M35" s="25">
        <v>2015</v>
      </c>
      <c r="N35" s="25" t="s">
        <v>8</v>
      </c>
      <c r="O35">
        <v>0</v>
      </c>
      <c r="P35">
        <v>0</v>
      </c>
      <c r="R35">
        <f>SUM(Table14[[#This Row],[Pilot2]:[EDS GALLONS3]])</f>
        <v>0</v>
      </c>
      <c r="S35" s="25">
        <v>2013</v>
      </c>
      <c r="T35" s="25" t="s">
        <v>8</v>
      </c>
      <c r="U35">
        <v>0</v>
      </c>
      <c r="V35">
        <v>0</v>
      </c>
      <c r="X35">
        <f>SUM(Table14[[#This Row],[Pilot 2]:[EDS GALLONS4]])</f>
        <v>0</v>
      </c>
      <c r="Y35" s="25" t="s">
        <v>8</v>
      </c>
      <c r="Z35">
        <f t="shared" si="1"/>
        <v>0</v>
      </c>
    </row>
    <row r="36" spans="1:26" x14ac:dyDescent="0.15">
      <c r="A36" s="26">
        <v>2019</v>
      </c>
      <c r="B36" s="24" t="s">
        <v>18</v>
      </c>
      <c r="F36">
        <f t="shared" si="0"/>
        <v>0</v>
      </c>
      <c r="G36" s="24">
        <v>2017</v>
      </c>
      <c r="H36" s="24" t="s">
        <v>18</v>
      </c>
      <c r="I36">
        <v>176</v>
      </c>
      <c r="J36">
        <v>114</v>
      </c>
      <c r="K36" s="15"/>
      <c r="L36">
        <f>SUM(Table14[[#This Row],[Pilot ]:[EDS GALLONS2]])</f>
        <v>290</v>
      </c>
      <c r="M36" s="24">
        <v>2015</v>
      </c>
      <c r="N36" s="24" t="s">
        <v>18</v>
      </c>
      <c r="O36">
        <v>114</v>
      </c>
      <c r="P36">
        <v>0</v>
      </c>
      <c r="R36">
        <f>SUM(Table14[[#This Row],[Pilot2]:[EDS GALLONS3]])</f>
        <v>114</v>
      </c>
      <c r="S36" s="24">
        <v>2013</v>
      </c>
      <c r="T36" s="24" t="s">
        <v>18</v>
      </c>
      <c r="U36">
        <v>0</v>
      </c>
      <c r="V36">
        <v>431</v>
      </c>
      <c r="X36">
        <f>SUM(Table14[[#This Row],[Pilot 2]:[EDS GALLONS4]])</f>
        <v>431</v>
      </c>
      <c r="Y36" s="24" t="s">
        <v>18</v>
      </c>
      <c r="Z36">
        <f t="shared" si="1"/>
        <v>835</v>
      </c>
    </row>
    <row r="37" spans="1:26" x14ac:dyDescent="0.15">
      <c r="A37" s="27">
        <v>2019</v>
      </c>
      <c r="B37" s="23" t="s">
        <v>58</v>
      </c>
      <c r="F37">
        <f t="shared" si="0"/>
        <v>0</v>
      </c>
      <c r="G37" s="25">
        <v>2017</v>
      </c>
      <c r="H37" s="23" t="s">
        <v>58</v>
      </c>
      <c r="I37">
        <v>0</v>
      </c>
      <c r="K37" s="15"/>
      <c r="L37">
        <f>SUM(Table14[[#This Row],[Pilot ]:[EDS GALLONS2]])</f>
        <v>0</v>
      </c>
      <c r="M37" s="25">
        <v>2015</v>
      </c>
      <c r="N37" s="23" t="s">
        <v>58</v>
      </c>
      <c r="O37">
        <v>0</v>
      </c>
      <c r="P37">
        <v>0</v>
      </c>
      <c r="R37">
        <f>SUM(Table14[[#This Row],[Pilot2]:[EDS GALLONS3]])</f>
        <v>0</v>
      </c>
      <c r="S37" s="25">
        <v>2013</v>
      </c>
      <c r="T37" s="23" t="s">
        <v>58</v>
      </c>
      <c r="U37">
        <v>0</v>
      </c>
      <c r="X37">
        <f>SUM(Table14[[#This Row],[Pilot 2]:[EDS GALLONS4]])</f>
        <v>0</v>
      </c>
      <c r="Y37" s="23" t="s">
        <v>58</v>
      </c>
      <c r="Z37">
        <f t="shared" si="1"/>
        <v>0</v>
      </c>
    </row>
    <row r="38" spans="1:26" x14ac:dyDescent="0.15">
      <c r="A38" s="26">
        <v>2019</v>
      </c>
      <c r="B38" s="24" t="s">
        <v>9</v>
      </c>
      <c r="C38">
        <f>SUM(C2:C37)</f>
        <v>1364</v>
      </c>
      <c r="D38">
        <f>SUM(D2:D37)</f>
        <v>2810</v>
      </c>
      <c r="F38">
        <f t="shared" si="0"/>
        <v>4174</v>
      </c>
      <c r="G38" s="24">
        <v>2017</v>
      </c>
      <c r="H38" s="24" t="s">
        <v>9</v>
      </c>
      <c r="I38">
        <f>SUM(I2:I37)</f>
        <v>1083</v>
      </c>
      <c r="J38">
        <f>SUM(J2:J37)</f>
        <v>3066</v>
      </c>
      <c r="K38" s="15">
        <f>SUM(K2:K37)</f>
        <v>0</v>
      </c>
      <c r="L38">
        <f>SUM(Table14[[#This Row],[Pilot ]:[EDS GALLONS2]])</f>
        <v>4149</v>
      </c>
      <c r="M38" s="24">
        <v>2015</v>
      </c>
      <c r="N38" s="24" t="s">
        <v>9</v>
      </c>
      <c r="O38">
        <f>SUM(O2:O37)</f>
        <v>3633</v>
      </c>
      <c r="P38">
        <f>SUM(P2:P37)</f>
        <v>947</v>
      </c>
      <c r="Q38">
        <f>SUM(Q2:Q37)</f>
        <v>0</v>
      </c>
      <c r="R38">
        <f>SUM(Table14[[#This Row],[Pilot2]:[EDS GALLONS3]])</f>
        <v>4580</v>
      </c>
      <c r="S38" s="24">
        <v>2013</v>
      </c>
      <c r="T38" s="24" t="s">
        <v>9</v>
      </c>
      <c r="U38">
        <f>SUM(U2:U37)</f>
        <v>1846</v>
      </c>
      <c r="V38">
        <f>SUM(V2:V37)</f>
        <v>3498</v>
      </c>
      <c r="X38">
        <f>SUM(Table14[[#This Row],[Pilot 2]:[EDS GALLONS4]])</f>
        <v>5344</v>
      </c>
      <c r="Z38">
        <f t="shared" si="1"/>
        <v>18247</v>
      </c>
    </row>
  </sheetData>
  <conditionalFormatting sqref="Z6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82E76-AB46-48F8-A96E-A3965FD98B77}">
  <dimension ref="A1:AA50"/>
  <sheetViews>
    <sheetView workbookViewId="0">
      <selection sqref="A1:AA29"/>
    </sheetView>
  </sheetViews>
  <sheetFormatPr defaultColWidth="8.76171875" defaultRowHeight="12.75" x14ac:dyDescent="0.15"/>
  <cols>
    <col min="16" max="16" width="10.11328125" bestFit="1" customWidth="1"/>
    <col min="27" max="27" width="10.515625" bestFit="1" customWidth="1"/>
  </cols>
  <sheetData>
    <row r="1" spans="1:27" x14ac:dyDescent="0.15">
      <c r="A1" s="36" t="s">
        <v>88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</row>
    <row r="2" spans="1:27" x14ac:dyDescent="0.15">
      <c r="A2" s="36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</row>
    <row r="3" spans="1:27" x14ac:dyDescent="0.15">
      <c r="A3" s="36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</row>
    <row r="4" spans="1:27" x14ac:dyDescent="0.15">
      <c r="A4" s="36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</row>
    <row r="5" spans="1:27" x14ac:dyDescent="0.15">
      <c r="A5" s="36"/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</row>
    <row r="6" spans="1:27" x14ac:dyDescent="0.15">
      <c r="A6" t="s">
        <v>31</v>
      </c>
      <c r="B6" t="s">
        <v>36</v>
      </c>
      <c r="C6" t="s">
        <v>37</v>
      </c>
      <c r="D6" t="s">
        <v>38</v>
      </c>
      <c r="E6" t="s">
        <v>39</v>
      </c>
      <c r="F6" t="s">
        <v>89</v>
      </c>
      <c r="G6" t="s">
        <v>40</v>
      </c>
      <c r="H6" t="s">
        <v>41</v>
      </c>
      <c r="I6" t="s">
        <v>42</v>
      </c>
      <c r="J6" t="s">
        <v>43</v>
      </c>
      <c r="K6" t="s">
        <v>10</v>
      </c>
      <c r="L6" t="s">
        <v>44</v>
      </c>
      <c r="M6" t="s">
        <v>45</v>
      </c>
      <c r="N6" t="s">
        <v>46</v>
      </c>
      <c r="O6" t="s">
        <v>47</v>
      </c>
      <c r="P6" t="s">
        <v>0</v>
      </c>
      <c r="Q6" t="s">
        <v>48</v>
      </c>
      <c r="R6" t="s">
        <v>49</v>
      </c>
      <c r="S6" t="s">
        <v>50</v>
      </c>
      <c r="T6" t="s">
        <v>51</v>
      </c>
      <c r="U6" t="s">
        <v>52</v>
      </c>
      <c r="V6" t="s">
        <v>53</v>
      </c>
      <c r="W6" s="13" t="s">
        <v>61</v>
      </c>
      <c r="X6" t="s">
        <v>62</v>
      </c>
      <c r="Y6" s="13" t="s">
        <v>63</v>
      </c>
      <c r="Z6" t="s">
        <v>35</v>
      </c>
      <c r="AA6" t="s">
        <v>64</v>
      </c>
    </row>
    <row r="7" spans="1:27" x14ac:dyDescent="0.15">
      <c r="A7">
        <v>2013</v>
      </c>
      <c r="B7" t="s">
        <v>20</v>
      </c>
      <c r="C7">
        <v>192</v>
      </c>
      <c r="D7">
        <v>0</v>
      </c>
      <c r="F7">
        <v>2015</v>
      </c>
      <c r="G7" t="s">
        <v>20</v>
      </c>
      <c r="H7">
        <v>0</v>
      </c>
      <c r="I7">
        <v>0</v>
      </c>
      <c r="K7">
        <v>2017</v>
      </c>
      <c r="L7" t="s">
        <v>20</v>
      </c>
      <c r="M7">
        <v>0</v>
      </c>
      <c r="N7">
        <v>0</v>
      </c>
      <c r="P7">
        <v>2019</v>
      </c>
      <c r="Q7" t="s">
        <v>20</v>
      </c>
      <c r="R7">
        <v>0</v>
      </c>
      <c r="U7" t="s">
        <v>20</v>
      </c>
      <c r="V7">
        <f t="shared" ref="V7:W43" si="0">SUM(C7,H7,M7,R7)</f>
        <v>192</v>
      </c>
      <c r="W7" s="13">
        <f t="shared" si="0"/>
        <v>0</v>
      </c>
      <c r="X7" s="15">
        <f>SUM(Table735[[#This Row],[MILES6]]/Y43)</f>
        <v>27.657009331038729</v>
      </c>
      <c r="Y7" s="17">
        <f>SUM(Table735[[#This Row],[Tax Paid Fuel (Gallons)]]-Table735[[#This Row],[Taxable Fuel (Gallons)]])</f>
        <v>-27.657009331038729</v>
      </c>
      <c r="Z7" s="11">
        <v>0.3</v>
      </c>
      <c r="AA7" s="16">
        <f>SUM(Table735[[#This Row],[Net Taxable Fuel (Gallons)]]*Table735[[#This Row],[Tax Rate]])</f>
        <v>-8.2971027993116184</v>
      </c>
    </row>
    <row r="8" spans="1:27" x14ac:dyDescent="0.15">
      <c r="A8">
        <v>2013</v>
      </c>
      <c r="B8" t="s">
        <v>21</v>
      </c>
      <c r="C8">
        <v>379</v>
      </c>
      <c r="D8">
        <v>0</v>
      </c>
      <c r="F8">
        <v>2015</v>
      </c>
      <c r="G8" t="s">
        <v>21</v>
      </c>
      <c r="H8">
        <v>94</v>
      </c>
      <c r="I8">
        <v>0</v>
      </c>
      <c r="K8">
        <v>2017</v>
      </c>
      <c r="L8" t="s">
        <v>21</v>
      </c>
      <c r="M8">
        <v>48</v>
      </c>
      <c r="N8">
        <v>0</v>
      </c>
      <c r="P8">
        <v>2019</v>
      </c>
      <c r="Q8" t="s">
        <v>21</v>
      </c>
      <c r="R8">
        <v>0</v>
      </c>
      <c r="U8" t="s">
        <v>21</v>
      </c>
      <c r="V8">
        <f t="shared" si="0"/>
        <v>521</v>
      </c>
      <c r="W8" s="13">
        <f>SUM(D8,I8,N8,S8)</f>
        <v>0</v>
      </c>
      <c r="X8" s="15">
        <f>SUM(Table735[[#This Row],[MILES6]]/Y43)</f>
        <v>75.048447195162396</v>
      </c>
      <c r="Y8" s="19">
        <f>SUM(Table735[[#This Row],[Tax Paid Fuel (Gallons)]]-Table735[[#This Row],[Taxable Fuel (Gallons)]])</f>
        <v>-75.048447195162396</v>
      </c>
      <c r="Z8" s="12">
        <v>0.28499999999999998</v>
      </c>
      <c r="AA8" s="14">
        <f>SUM(Table735[[#This Row],[Net Taxable Fuel (Gallons)]]*Table735[[#This Row],[Tax Rate]])</f>
        <v>-21.388807450621282</v>
      </c>
    </row>
    <row r="9" spans="1:27" x14ac:dyDescent="0.15">
      <c r="A9">
        <v>2013</v>
      </c>
      <c r="B9" t="s">
        <v>1</v>
      </c>
      <c r="C9">
        <v>3601</v>
      </c>
      <c r="D9">
        <v>846</v>
      </c>
      <c r="F9">
        <v>2015</v>
      </c>
      <c r="G9" t="s">
        <v>1</v>
      </c>
      <c r="H9">
        <v>7895</v>
      </c>
      <c r="I9">
        <v>1719</v>
      </c>
      <c r="K9">
        <v>2017</v>
      </c>
      <c r="L9" t="s">
        <v>1</v>
      </c>
      <c r="M9">
        <v>3512</v>
      </c>
      <c r="N9">
        <v>410</v>
      </c>
      <c r="P9">
        <v>2019</v>
      </c>
      <c r="Q9" t="s">
        <v>1</v>
      </c>
      <c r="R9">
        <v>8290</v>
      </c>
      <c r="S9">
        <v>2253</v>
      </c>
      <c r="U9" t="s">
        <v>1</v>
      </c>
      <c r="V9">
        <f t="shared" si="0"/>
        <v>23298</v>
      </c>
      <c r="W9" s="13">
        <f>SUM(D9,I9,N9,S9)</f>
        <v>5228</v>
      </c>
      <c r="X9" s="15">
        <f>SUM(Table735[[#This Row],[MILES6]]/Y43)</f>
        <v>3356.0052260132311</v>
      </c>
      <c r="Y9" s="19">
        <f>SUM(Table735[[#This Row],[Tax Paid Fuel (Gallons)]]-Table735[[#This Row],[Taxable Fuel (Gallons)]])</f>
        <v>1871.9947739867689</v>
      </c>
      <c r="Z9" s="12">
        <v>0.26</v>
      </c>
      <c r="AA9" s="14">
        <f>SUM(Table735[[#This Row],[Net Taxable Fuel (Gallons)]]*Table735[[#This Row],[Tax Rate]])</f>
        <v>486.7186412365599</v>
      </c>
    </row>
    <row r="10" spans="1:27" x14ac:dyDescent="0.15">
      <c r="A10">
        <v>2013</v>
      </c>
      <c r="B10" t="s">
        <v>2</v>
      </c>
      <c r="C10">
        <v>9836</v>
      </c>
      <c r="D10">
        <v>425</v>
      </c>
      <c r="F10">
        <v>2015</v>
      </c>
      <c r="G10" t="s">
        <v>2</v>
      </c>
      <c r="H10">
        <v>10898</v>
      </c>
      <c r="I10">
        <v>375</v>
      </c>
      <c r="K10">
        <v>2017</v>
      </c>
      <c r="L10" t="s">
        <v>2</v>
      </c>
      <c r="M10">
        <v>9212</v>
      </c>
      <c r="N10">
        <v>804</v>
      </c>
      <c r="P10">
        <v>2019</v>
      </c>
      <c r="Q10" t="s">
        <v>2</v>
      </c>
      <c r="R10">
        <v>14337</v>
      </c>
      <c r="S10">
        <v>393</v>
      </c>
      <c r="U10" t="s">
        <v>2</v>
      </c>
      <c r="V10">
        <f t="shared" si="0"/>
        <v>44283</v>
      </c>
      <c r="W10" s="13">
        <f>SUM(D10,I10,N10,S10)</f>
        <v>1997</v>
      </c>
      <c r="X10" s="15">
        <f>SUM(Table735[[#This Row],[MILES6]]/Y43)</f>
        <v>6378.8299177416047</v>
      </c>
      <c r="Y10" s="19">
        <f>SUM(Table735[[#This Row],[Tax Paid Fuel (Gallons)]]-Table735[[#This Row],[Taxable Fuel (Gallons)]])</f>
        <v>-4381.8299177416047</v>
      </c>
      <c r="Z10" s="12">
        <v>1.0229999999999999</v>
      </c>
      <c r="AA10" s="14">
        <f>SUM(Table735[[#This Row],[Net Taxable Fuel (Gallons)]]*Table735[[#This Row],[Tax Rate]])</f>
        <v>-4482.6120058496608</v>
      </c>
    </row>
    <row r="11" spans="1:27" x14ac:dyDescent="0.15">
      <c r="A11">
        <v>2013</v>
      </c>
      <c r="B11" t="s">
        <v>11</v>
      </c>
      <c r="C11">
        <v>1185</v>
      </c>
      <c r="D11">
        <v>190</v>
      </c>
      <c r="F11">
        <v>2015</v>
      </c>
      <c r="G11" t="s">
        <v>11</v>
      </c>
      <c r="H11">
        <v>0</v>
      </c>
      <c r="I11">
        <v>0</v>
      </c>
      <c r="K11">
        <v>2017</v>
      </c>
      <c r="L11" t="s">
        <v>11</v>
      </c>
      <c r="M11">
        <v>69</v>
      </c>
      <c r="N11">
        <v>0</v>
      </c>
      <c r="P11">
        <v>2019</v>
      </c>
      <c r="Q11" t="s">
        <v>11</v>
      </c>
      <c r="R11">
        <v>0</v>
      </c>
      <c r="U11" t="s">
        <v>11</v>
      </c>
      <c r="V11">
        <f t="shared" si="0"/>
        <v>1254</v>
      </c>
      <c r="W11" s="13">
        <f t="shared" si="0"/>
        <v>190</v>
      </c>
      <c r="X11" s="15">
        <f>SUM(Table735[[#This Row],[MILES6]]/Y43)</f>
        <v>180.63484219334671</v>
      </c>
      <c r="Y11" s="19">
        <f>SUM(Table735[[#This Row],[Tax Paid Fuel (Gallons)]]-Table735[[#This Row],[Taxable Fuel (Gallons)]])</f>
        <v>9.3651578066532863</v>
      </c>
      <c r="Z11" s="12">
        <v>0.28499999999999998</v>
      </c>
      <c r="AA11" s="14">
        <f>SUM(Table735[[#This Row],[Net Taxable Fuel (Gallons)]]*Table735[[#This Row],[Tax Rate]])</f>
        <v>2.6690699748961864</v>
      </c>
    </row>
    <row r="12" spans="1:27" x14ac:dyDescent="0.15">
      <c r="A12">
        <v>2013</v>
      </c>
      <c r="B12" s="7" t="s">
        <v>59</v>
      </c>
      <c r="C12">
        <v>0</v>
      </c>
      <c r="D12">
        <v>0</v>
      </c>
      <c r="F12">
        <v>2015</v>
      </c>
      <c r="G12" s="7" t="s">
        <v>59</v>
      </c>
      <c r="H12">
        <v>0</v>
      </c>
      <c r="I12">
        <v>0</v>
      </c>
      <c r="K12">
        <v>2017</v>
      </c>
      <c r="L12" s="7" t="s">
        <v>59</v>
      </c>
      <c r="M12">
        <v>0</v>
      </c>
      <c r="N12">
        <v>0</v>
      </c>
      <c r="P12">
        <v>2019</v>
      </c>
      <c r="Q12" s="7" t="s">
        <v>59</v>
      </c>
      <c r="R12">
        <v>0</v>
      </c>
      <c r="U12" s="7" t="s">
        <v>59</v>
      </c>
      <c r="V12">
        <f t="shared" si="0"/>
        <v>0</v>
      </c>
      <c r="W12" s="13">
        <f t="shared" si="0"/>
        <v>0</v>
      </c>
      <c r="X12" s="15">
        <f>SUM(Table735[[#This Row],[MILES6]]/Y43)</f>
        <v>0</v>
      </c>
      <c r="Y12" s="19">
        <f>SUM(Table735[[#This Row],[Tax Paid Fuel (Gallons)]]-Table735[[#This Row],[Taxable Fuel (Gallons)]])</f>
        <v>0</v>
      </c>
      <c r="Z12" s="12">
        <v>0.4027</v>
      </c>
      <c r="AA12" s="14">
        <f>SUM(Table735[[#This Row],[Net Taxable Fuel (Gallons)]]*Table735[[#This Row],[Tax Rate]])</f>
        <v>0</v>
      </c>
    </row>
    <row r="13" spans="1:27" x14ac:dyDescent="0.15">
      <c r="A13">
        <v>2013</v>
      </c>
      <c r="B13" t="s">
        <v>32</v>
      </c>
      <c r="C13">
        <v>314</v>
      </c>
      <c r="D13">
        <v>0</v>
      </c>
      <c r="F13">
        <v>2015</v>
      </c>
      <c r="G13" t="s">
        <v>32</v>
      </c>
      <c r="H13">
        <v>0</v>
      </c>
      <c r="I13">
        <v>0</v>
      </c>
      <c r="K13">
        <v>2017</v>
      </c>
      <c r="L13" t="s">
        <v>32</v>
      </c>
      <c r="M13">
        <v>0</v>
      </c>
      <c r="N13">
        <v>0</v>
      </c>
      <c r="P13">
        <v>2019</v>
      </c>
      <c r="Q13" t="s">
        <v>32</v>
      </c>
      <c r="R13">
        <v>0</v>
      </c>
      <c r="U13" t="s">
        <v>32</v>
      </c>
      <c r="V13">
        <f t="shared" si="0"/>
        <v>314</v>
      </c>
      <c r="W13" s="13">
        <f t="shared" si="0"/>
        <v>0</v>
      </c>
      <c r="X13" s="15">
        <f>SUM(Table735[[#This Row],[MILES6]]/Y43)</f>
        <v>45.23073401013626</v>
      </c>
      <c r="Y13" s="19">
        <f>SUM(Table735[[#This Row],[Tax Paid Fuel (Gallons)]]-Table735[[#This Row],[Taxable Fuel (Gallons)]])</f>
        <v>-45.23073401013626</v>
      </c>
      <c r="Z13" s="12">
        <v>0.371</v>
      </c>
      <c r="AA13" s="14">
        <f>SUM(Table735[[#This Row],[Net Taxable Fuel (Gallons)]]*Table735[[#This Row],[Tax Rate]])</f>
        <v>-16.780602317760554</v>
      </c>
    </row>
    <row r="14" spans="1:27" x14ac:dyDescent="0.15">
      <c r="A14">
        <v>2013</v>
      </c>
      <c r="B14" t="s">
        <v>22</v>
      </c>
      <c r="C14">
        <v>0</v>
      </c>
      <c r="D14">
        <v>0</v>
      </c>
      <c r="F14">
        <v>2015</v>
      </c>
      <c r="G14" t="s">
        <v>22</v>
      </c>
      <c r="H14">
        <v>13</v>
      </c>
      <c r="I14">
        <v>0</v>
      </c>
      <c r="K14">
        <v>2017</v>
      </c>
      <c r="L14" t="s">
        <v>22</v>
      </c>
      <c r="M14">
        <v>273</v>
      </c>
      <c r="N14">
        <v>0</v>
      </c>
      <c r="P14">
        <v>2019</v>
      </c>
      <c r="Q14" t="s">
        <v>22</v>
      </c>
      <c r="R14">
        <v>0</v>
      </c>
      <c r="U14" t="s">
        <v>22</v>
      </c>
      <c r="V14">
        <f t="shared" si="0"/>
        <v>286</v>
      </c>
      <c r="W14" s="13">
        <f t="shared" si="0"/>
        <v>0</v>
      </c>
      <c r="X14" s="15">
        <f>SUM(Table735[[#This Row],[MILES6]]/Y43)</f>
        <v>41.197420149359779</v>
      </c>
      <c r="Y14" s="19">
        <f>SUM(Table735[[#This Row],[Tax Paid Fuel (Gallons)]]-Table735[[#This Row],[Taxable Fuel (Gallons)]])</f>
        <v>-41.197420149359779</v>
      </c>
      <c r="Z14" s="12">
        <v>0.32500000000000001</v>
      </c>
      <c r="AA14" s="14">
        <f>SUM(Table735[[#This Row],[Net Taxable Fuel (Gallons)]]*Table735[[#This Row],[Tax Rate]])</f>
        <v>-13.389161548541928</v>
      </c>
    </row>
    <row r="15" spans="1:27" x14ac:dyDescent="0.15">
      <c r="A15">
        <v>2013</v>
      </c>
      <c r="B15" t="s">
        <v>3</v>
      </c>
      <c r="C15">
        <v>143</v>
      </c>
      <c r="D15">
        <v>0</v>
      </c>
      <c r="F15">
        <v>2015</v>
      </c>
      <c r="G15" t="s">
        <v>3</v>
      </c>
      <c r="H15">
        <v>0</v>
      </c>
      <c r="I15">
        <v>0</v>
      </c>
      <c r="K15">
        <v>2017</v>
      </c>
      <c r="L15" t="s">
        <v>3</v>
      </c>
      <c r="M15">
        <v>580</v>
      </c>
      <c r="N15">
        <v>0</v>
      </c>
      <c r="P15">
        <v>2019</v>
      </c>
      <c r="Q15" t="s">
        <v>3</v>
      </c>
      <c r="R15">
        <v>86</v>
      </c>
      <c r="U15" t="s">
        <v>3</v>
      </c>
      <c r="V15">
        <f t="shared" si="0"/>
        <v>809</v>
      </c>
      <c r="W15" s="13">
        <f t="shared" si="0"/>
        <v>0</v>
      </c>
      <c r="X15" s="15">
        <f>SUM(Table735[[#This Row],[MILES6]]/Y43)</f>
        <v>116.53396119172048</v>
      </c>
      <c r="Y15" s="19">
        <f>SUM(Table735[[#This Row],[Tax Paid Fuel (Gallons)]]-X15)</f>
        <v>-116.53396119172048</v>
      </c>
      <c r="Z15" s="12">
        <v>0.32</v>
      </c>
      <c r="AA15" s="14">
        <f>SUM(Table735[[#This Row],[Net Taxable Fuel (Gallons)]]*Table735[[#This Row],[Tax Rate]])</f>
        <v>-37.290867581350554</v>
      </c>
    </row>
    <row r="16" spans="1:27" x14ac:dyDescent="0.15">
      <c r="A16">
        <v>2013</v>
      </c>
      <c r="B16" t="s">
        <v>23</v>
      </c>
      <c r="C16">
        <v>748</v>
      </c>
      <c r="D16">
        <v>0</v>
      </c>
      <c r="F16">
        <v>2015</v>
      </c>
      <c r="G16" t="s">
        <v>23</v>
      </c>
      <c r="H16">
        <v>0</v>
      </c>
      <c r="I16">
        <v>0</v>
      </c>
      <c r="K16">
        <v>2017</v>
      </c>
      <c r="L16" t="s">
        <v>23</v>
      </c>
      <c r="M16">
        <v>160</v>
      </c>
      <c r="N16">
        <v>0</v>
      </c>
      <c r="P16">
        <v>2019</v>
      </c>
      <c r="Q16" t="s">
        <v>23</v>
      </c>
      <c r="R16">
        <v>0</v>
      </c>
      <c r="U16" t="s">
        <v>23</v>
      </c>
      <c r="V16">
        <f t="shared" si="0"/>
        <v>908</v>
      </c>
      <c r="W16" s="13">
        <f t="shared" si="0"/>
        <v>0</v>
      </c>
      <c r="X16" s="15">
        <f>SUM(Table735[[#This Row],[MILES6]]/Y43)</f>
        <v>130.79460662803734</v>
      </c>
      <c r="Y16" s="19">
        <f>SUM(Table735[[#This Row],[Tax Paid Fuel (Gallons)]]-Table735[[#This Row],[Taxable Fuel (Gallons)]])</f>
        <v>-130.79460662803734</v>
      </c>
      <c r="Z16" s="12">
        <v>0.73599999999999999</v>
      </c>
      <c r="AA16" s="14">
        <f>SUM(Table735[[#This Row],[Net Taxable Fuel (Gallons)]]*Table735[[#This Row],[Tax Rate]])</f>
        <v>-96.264830478235481</v>
      </c>
    </row>
    <row r="17" spans="1:27" x14ac:dyDescent="0.15">
      <c r="A17">
        <v>2013</v>
      </c>
      <c r="B17" t="s">
        <v>24</v>
      </c>
      <c r="C17">
        <v>199</v>
      </c>
      <c r="D17">
        <v>0</v>
      </c>
      <c r="F17">
        <v>2015</v>
      </c>
      <c r="G17" t="s">
        <v>24</v>
      </c>
      <c r="H17">
        <v>0</v>
      </c>
      <c r="I17">
        <v>0</v>
      </c>
      <c r="K17">
        <v>2017</v>
      </c>
      <c r="L17" t="s">
        <v>24</v>
      </c>
      <c r="M17">
        <v>0</v>
      </c>
      <c r="N17">
        <v>0</v>
      </c>
      <c r="P17">
        <v>2019</v>
      </c>
      <c r="Q17" t="s">
        <v>24</v>
      </c>
      <c r="R17">
        <v>0</v>
      </c>
      <c r="U17" t="s">
        <v>24</v>
      </c>
      <c r="V17">
        <f t="shared" si="0"/>
        <v>199</v>
      </c>
      <c r="W17" s="13">
        <f t="shared" si="0"/>
        <v>0</v>
      </c>
      <c r="X17" s="15">
        <f>SUM(Table735[[#This Row],[MILES6]]/Y43)</f>
        <v>28.665337796232851</v>
      </c>
      <c r="Y17" s="19">
        <f>SUM(Table735[[#This Row],[Tax Paid Fuel (Gallons)]]-Table735[[#This Row],[Taxable Fuel (Gallons)]])</f>
        <v>-28.665337796232851</v>
      </c>
      <c r="Z17" s="12">
        <v>0.59</v>
      </c>
      <c r="AA17" s="14">
        <f>SUM(Table735[[#This Row],[Net Taxable Fuel (Gallons)]]*Table735[[#This Row],[Tax Rate]])</f>
        <v>-16.912549299777382</v>
      </c>
    </row>
    <row r="18" spans="1:27" x14ac:dyDescent="0.15">
      <c r="A18">
        <v>2013</v>
      </c>
      <c r="B18" t="s">
        <v>25</v>
      </c>
      <c r="C18">
        <v>1233</v>
      </c>
      <c r="D18">
        <v>348</v>
      </c>
      <c r="F18">
        <v>2015</v>
      </c>
      <c r="G18" t="s">
        <v>25</v>
      </c>
      <c r="H18">
        <v>916</v>
      </c>
      <c r="I18">
        <v>85</v>
      </c>
      <c r="K18">
        <v>2017</v>
      </c>
      <c r="L18" t="s">
        <v>25</v>
      </c>
      <c r="M18">
        <v>586</v>
      </c>
      <c r="N18">
        <v>85</v>
      </c>
      <c r="P18">
        <v>2019</v>
      </c>
      <c r="Q18" t="s">
        <v>25</v>
      </c>
      <c r="R18">
        <v>0</v>
      </c>
      <c r="U18" t="s">
        <v>25</v>
      </c>
      <c r="V18">
        <f t="shared" si="0"/>
        <v>2735</v>
      </c>
      <c r="W18" s="13">
        <f t="shared" si="0"/>
        <v>518</v>
      </c>
      <c r="X18" s="15">
        <f>SUM(Table735[[#This Row],[MILES6]]/Y43)</f>
        <v>393.96833604370278</v>
      </c>
      <c r="Y18" s="19">
        <f>SUM(Table735[[#This Row],[Tax Paid Fuel (Gallons)]]-Table735[[#This Row],[Taxable Fuel (Gallons)]])</f>
        <v>124.03166395629722</v>
      </c>
      <c r="Z18" s="12">
        <v>0.26</v>
      </c>
      <c r="AA18" s="14">
        <f>SUM(Table735[[#This Row],[Net Taxable Fuel (Gallons)]]*Table735[[#This Row],[Tax Rate]])</f>
        <v>32.248232628637282</v>
      </c>
    </row>
    <row r="19" spans="1:27" x14ac:dyDescent="0.15">
      <c r="A19">
        <v>2013</v>
      </c>
      <c r="B19" t="s">
        <v>26</v>
      </c>
      <c r="C19">
        <v>97</v>
      </c>
      <c r="D19">
        <v>0</v>
      </c>
      <c r="F19">
        <v>2015</v>
      </c>
      <c r="G19" t="s">
        <v>26</v>
      </c>
      <c r="H19">
        <v>0</v>
      </c>
      <c r="I19">
        <v>0</v>
      </c>
      <c r="K19">
        <v>2017</v>
      </c>
      <c r="L19" t="s">
        <v>26</v>
      </c>
      <c r="M19">
        <v>0</v>
      </c>
      <c r="N19">
        <v>0</v>
      </c>
      <c r="P19">
        <v>2019</v>
      </c>
      <c r="Q19" t="s">
        <v>26</v>
      </c>
      <c r="R19">
        <v>0</v>
      </c>
      <c r="U19" t="s">
        <v>26</v>
      </c>
      <c r="V19">
        <f t="shared" si="0"/>
        <v>97</v>
      </c>
      <c r="W19" s="13">
        <f t="shared" si="0"/>
        <v>0</v>
      </c>
      <c r="X19" s="15">
        <f>SUM(Table735[[#This Row],[MILES6]]/Y43)</f>
        <v>13.972551589118526</v>
      </c>
      <c r="Y19" s="19">
        <f>SUM(Table735[[#This Row],[Tax Paid Fuel (Gallons)]]-Table735[[#This Row],[Taxable Fuel (Gallons)]])</f>
        <v>-13.972551589118526</v>
      </c>
      <c r="Z19" s="12">
        <v>0.23400000000000001</v>
      </c>
      <c r="AA19" s="14">
        <f>SUM(Table735[[#This Row],[Net Taxable Fuel (Gallons)]]*Table735[[#This Row],[Tax Rate]])</f>
        <v>-3.2695770718537354</v>
      </c>
    </row>
    <row r="20" spans="1:27" x14ac:dyDescent="0.15">
      <c r="A20">
        <v>2013</v>
      </c>
      <c r="B20" t="s">
        <v>54</v>
      </c>
      <c r="C20">
        <v>0</v>
      </c>
      <c r="D20">
        <v>0</v>
      </c>
      <c r="F20">
        <v>2015</v>
      </c>
      <c r="G20" t="s">
        <v>54</v>
      </c>
      <c r="H20">
        <v>0</v>
      </c>
      <c r="I20">
        <v>0</v>
      </c>
      <c r="K20">
        <v>2017</v>
      </c>
      <c r="L20" t="s">
        <v>54</v>
      </c>
      <c r="M20">
        <v>0</v>
      </c>
      <c r="N20">
        <v>0</v>
      </c>
      <c r="P20">
        <v>2019</v>
      </c>
      <c r="Q20" t="s">
        <v>54</v>
      </c>
      <c r="R20">
        <v>0</v>
      </c>
      <c r="U20" t="s">
        <v>54</v>
      </c>
      <c r="V20">
        <f t="shared" si="0"/>
        <v>0</v>
      </c>
      <c r="W20" s="13">
        <f t="shared" si="0"/>
        <v>0</v>
      </c>
      <c r="X20" s="15">
        <f>SUM(Table735[[#This Row],[MILES6]]/Y43)</f>
        <v>0</v>
      </c>
      <c r="Y20" s="19">
        <f>SUM(Table735[[#This Row],[Tax Paid Fuel (Gallons)]]-Table735[[#This Row],[Taxable Fuel (Gallons)]])</f>
        <v>0</v>
      </c>
      <c r="Z20" s="12">
        <v>0.2</v>
      </c>
      <c r="AA20" s="14">
        <f>SUM(Table735[[#This Row],[Net Taxable Fuel (Gallons)]]*Table735[[#This Row],[Tax Rate]])</f>
        <v>0</v>
      </c>
    </row>
    <row r="21" spans="1:27" x14ac:dyDescent="0.15">
      <c r="A21">
        <v>2013</v>
      </c>
      <c r="B21" t="s">
        <v>55</v>
      </c>
      <c r="C21">
        <v>57</v>
      </c>
      <c r="D21">
        <v>0</v>
      </c>
      <c r="F21">
        <v>2015</v>
      </c>
      <c r="G21" t="s">
        <v>55</v>
      </c>
      <c r="H21">
        <v>0</v>
      </c>
      <c r="I21">
        <v>0</v>
      </c>
      <c r="K21">
        <v>2017</v>
      </c>
      <c r="L21" t="s">
        <v>55</v>
      </c>
      <c r="M21">
        <v>147</v>
      </c>
      <c r="N21">
        <v>0</v>
      </c>
      <c r="P21">
        <v>2019</v>
      </c>
      <c r="Q21" t="s">
        <v>55</v>
      </c>
      <c r="R21">
        <v>0</v>
      </c>
      <c r="U21" t="s">
        <v>55</v>
      </c>
      <c r="V21">
        <f t="shared" si="0"/>
        <v>204</v>
      </c>
      <c r="W21" s="13">
        <f t="shared" si="0"/>
        <v>0</v>
      </c>
      <c r="X21" s="15">
        <f>SUM(Table735[[#This Row],[MILES6]]/Y43)</f>
        <v>29.385572414228651</v>
      </c>
      <c r="Y21" s="19">
        <f>SUM(Table735[[#This Row],[Tax Paid Fuel (Gallons)]]-Table735[[#This Row],[Taxable Fuel (Gallons)]])</f>
        <v>-29.385572414228651</v>
      </c>
      <c r="Z21" s="12">
        <v>0.318</v>
      </c>
      <c r="AA21" s="14">
        <f>SUM(Table735[[#This Row],[Net Taxable Fuel (Gallons)]]*Table735[[#This Row],[Tax Rate]])</f>
        <v>-9.3446120277247111</v>
      </c>
    </row>
    <row r="22" spans="1:27" x14ac:dyDescent="0.15">
      <c r="A22">
        <v>2013</v>
      </c>
      <c r="B22" s="7" t="s">
        <v>28</v>
      </c>
      <c r="C22">
        <v>119</v>
      </c>
      <c r="D22">
        <v>0</v>
      </c>
      <c r="F22">
        <v>2015</v>
      </c>
      <c r="G22" s="7" t="s">
        <v>28</v>
      </c>
      <c r="H22">
        <v>0</v>
      </c>
      <c r="I22">
        <v>0</v>
      </c>
      <c r="K22">
        <v>2017</v>
      </c>
      <c r="L22" s="7" t="s">
        <v>28</v>
      </c>
      <c r="M22">
        <v>0</v>
      </c>
      <c r="N22">
        <v>0</v>
      </c>
      <c r="P22">
        <v>2019</v>
      </c>
      <c r="Q22" s="7" t="s">
        <v>28</v>
      </c>
      <c r="R22">
        <v>0</v>
      </c>
      <c r="U22" s="7" t="s">
        <v>28</v>
      </c>
      <c r="V22">
        <f t="shared" si="0"/>
        <v>119</v>
      </c>
      <c r="W22" s="13">
        <f t="shared" si="0"/>
        <v>0</v>
      </c>
      <c r="X22" s="15">
        <f>SUM(Table735[[#This Row],[MILES6]]/Y43)</f>
        <v>17.141583908300046</v>
      </c>
      <c r="Y22" s="19">
        <f>SUM(Table735[[#This Row],[Tax Paid Fuel (Gallons)]]-Table735[[#This Row],[Taxable Fuel (Gallons)]])</f>
        <v>-17.141583908300046</v>
      </c>
      <c r="Z22" s="12">
        <v>0.18</v>
      </c>
      <c r="AA22" s="14">
        <f>SUM(Table735[[#This Row],[Net Taxable Fuel (Gallons)]]*Table735[[#This Row],[Tax Rate]])</f>
        <v>-3.0854851034940083</v>
      </c>
    </row>
    <row r="23" spans="1:27" x14ac:dyDescent="0.15">
      <c r="A23">
        <v>2013</v>
      </c>
      <c r="B23" t="s">
        <v>27</v>
      </c>
      <c r="C23">
        <v>575</v>
      </c>
      <c r="D23">
        <v>100</v>
      </c>
      <c r="F23">
        <v>2015</v>
      </c>
      <c r="G23" t="s">
        <v>27</v>
      </c>
      <c r="H23">
        <v>330</v>
      </c>
      <c r="I23">
        <v>0</v>
      </c>
      <c r="K23">
        <v>2017</v>
      </c>
      <c r="L23" t="s">
        <v>27</v>
      </c>
      <c r="M23">
        <v>647</v>
      </c>
      <c r="N23">
        <v>0</v>
      </c>
      <c r="P23">
        <v>2019</v>
      </c>
      <c r="Q23" t="s">
        <v>27</v>
      </c>
      <c r="R23">
        <v>0</v>
      </c>
      <c r="U23" t="s">
        <v>27</v>
      </c>
      <c r="V23">
        <f t="shared" si="0"/>
        <v>1552</v>
      </c>
      <c r="W23" s="13">
        <f t="shared" si="0"/>
        <v>100</v>
      </c>
      <c r="X23" s="15">
        <f>SUM(Table735[[#This Row],[MILES6]]/Y43)</f>
        <v>223.56082542589641</v>
      </c>
      <c r="Y23" s="19">
        <f>SUM(Table735[[#This Row],[Tax Paid Fuel (Gallons)]]-X23)</f>
        <v>-123.56082542589641</v>
      </c>
      <c r="Z23" s="12">
        <v>0.27</v>
      </c>
      <c r="AA23" s="14">
        <f>SUM(Table735[[#This Row],[Net Taxable Fuel (Gallons)]]*Table735[[#This Row],[Tax Rate]])</f>
        <v>-33.361422864992036</v>
      </c>
    </row>
    <row r="24" spans="1:27" x14ac:dyDescent="0.15">
      <c r="A24">
        <v>2013</v>
      </c>
      <c r="B24" t="s">
        <v>4</v>
      </c>
      <c r="C24">
        <v>0</v>
      </c>
      <c r="D24">
        <v>0</v>
      </c>
      <c r="F24">
        <v>2015</v>
      </c>
      <c r="G24" t="s">
        <v>4</v>
      </c>
      <c r="H24">
        <v>0</v>
      </c>
      <c r="I24">
        <v>0</v>
      </c>
      <c r="K24">
        <v>2017</v>
      </c>
      <c r="L24" t="s">
        <v>4</v>
      </c>
      <c r="M24">
        <v>690</v>
      </c>
      <c r="N24">
        <v>0</v>
      </c>
      <c r="P24">
        <v>2019</v>
      </c>
      <c r="Q24" t="s">
        <v>4</v>
      </c>
      <c r="R24">
        <v>0</v>
      </c>
      <c r="U24" t="s">
        <v>4</v>
      </c>
      <c r="V24">
        <f t="shared" si="0"/>
        <v>690</v>
      </c>
      <c r="W24" s="13">
        <f t="shared" si="0"/>
        <v>0</v>
      </c>
      <c r="X24" s="15">
        <f>SUM(Table735[[#This Row],[MILES6]]/Y43)</f>
        <v>99.392377283420444</v>
      </c>
      <c r="Y24" s="19">
        <f>SUM(Table735[[#This Row],[Tax Paid Fuel (Gallons)]]-Table735[[#This Row],[Taxable Fuel (Gallons)]])</f>
        <v>-99.392377283420444</v>
      </c>
      <c r="Z24" s="12">
        <v>0.29749999999999999</v>
      </c>
      <c r="AA24" s="14">
        <f>SUM(Table735[[#This Row],[Net Taxable Fuel (Gallons)]]*Table735[[#This Row],[Tax Rate]])</f>
        <v>-29.569232241817581</v>
      </c>
    </row>
    <row r="25" spans="1:27" x14ac:dyDescent="0.15">
      <c r="A25">
        <v>2013</v>
      </c>
      <c r="D25">
        <v>0</v>
      </c>
      <c r="F25">
        <v>2015</v>
      </c>
      <c r="H25">
        <v>0</v>
      </c>
      <c r="I25">
        <v>0</v>
      </c>
      <c r="K25">
        <v>2017</v>
      </c>
      <c r="N25">
        <v>0</v>
      </c>
      <c r="P25">
        <v>2019</v>
      </c>
      <c r="R25">
        <v>0</v>
      </c>
      <c r="V25">
        <f t="shared" si="0"/>
        <v>0</v>
      </c>
      <c r="W25" s="13">
        <f t="shared" si="0"/>
        <v>0</v>
      </c>
      <c r="X25" s="15">
        <f>SUM(Table735[[#This Row],[MILES6]]/Y43)</f>
        <v>0</v>
      </c>
      <c r="Y25" s="19">
        <f>SUM(Table735[[#This Row],[Tax Paid Fuel (Gallons)]]-Table735[[#This Row],[Taxable Fuel (Gallons)]])</f>
        <v>0</v>
      </c>
      <c r="Z25" s="12"/>
      <c r="AA25" s="14">
        <f>SUM(Table735[[#This Row],[Net Taxable Fuel (Gallons)]]*Table735[[#This Row],[Tax Rate]])</f>
        <v>0</v>
      </c>
    </row>
    <row r="26" spans="1:27" x14ac:dyDescent="0.15">
      <c r="A26">
        <v>2013</v>
      </c>
      <c r="B26" t="s">
        <v>33</v>
      </c>
      <c r="C26">
        <v>0</v>
      </c>
      <c r="D26">
        <v>0</v>
      </c>
      <c r="F26">
        <v>2015</v>
      </c>
      <c r="G26" t="s">
        <v>33</v>
      </c>
      <c r="H26">
        <v>0</v>
      </c>
      <c r="I26">
        <v>0</v>
      </c>
      <c r="K26">
        <v>2017</v>
      </c>
      <c r="L26" t="s">
        <v>33</v>
      </c>
      <c r="M26">
        <v>0</v>
      </c>
      <c r="N26">
        <v>0</v>
      </c>
      <c r="P26">
        <v>2019</v>
      </c>
      <c r="Q26" t="s">
        <v>33</v>
      </c>
      <c r="R26">
        <v>0</v>
      </c>
      <c r="U26" t="s">
        <v>33</v>
      </c>
      <c r="V26">
        <f t="shared" si="0"/>
        <v>0</v>
      </c>
      <c r="W26" s="13">
        <f t="shared" si="0"/>
        <v>0</v>
      </c>
      <c r="X26" s="15">
        <f>SUM(Table735[[#This Row],[MILES6]]/Y43)</f>
        <v>0</v>
      </c>
      <c r="Y26" s="19">
        <f>SUM(Table735[[#This Row],[Tax Paid Fuel (Gallons)]]-X26)</f>
        <v>0</v>
      </c>
      <c r="Z26" s="12">
        <v>0.40300000000000002</v>
      </c>
      <c r="AA26" s="14">
        <f>SUM(Table735[[#This Row],[Net Taxable Fuel (Gallons)]]*Table735[[#This Row],[Tax Rate]])</f>
        <v>0</v>
      </c>
    </row>
    <row r="27" spans="1:27" x14ac:dyDescent="0.15">
      <c r="A27">
        <v>2013</v>
      </c>
      <c r="B27" t="s">
        <v>13</v>
      </c>
      <c r="C27">
        <v>0</v>
      </c>
      <c r="D27">
        <v>0</v>
      </c>
      <c r="F27">
        <v>2015</v>
      </c>
      <c r="G27" t="s">
        <v>13</v>
      </c>
      <c r="H27">
        <v>459</v>
      </c>
      <c r="I27">
        <v>225</v>
      </c>
      <c r="K27">
        <v>2017</v>
      </c>
      <c r="L27" t="s">
        <v>13</v>
      </c>
      <c r="M27">
        <v>1765</v>
      </c>
      <c r="N27">
        <v>314</v>
      </c>
      <c r="P27">
        <v>2019</v>
      </c>
      <c r="Q27" t="s">
        <v>13</v>
      </c>
      <c r="R27">
        <v>0</v>
      </c>
      <c r="U27" t="s">
        <v>13</v>
      </c>
      <c r="V27">
        <f t="shared" si="0"/>
        <v>2224</v>
      </c>
      <c r="W27" s="13">
        <f t="shared" si="0"/>
        <v>539</v>
      </c>
      <c r="X27" s="15">
        <f>SUM(Table735[[#This Row],[MILES6]]/Y43)</f>
        <v>320.36035808453198</v>
      </c>
      <c r="Y27" s="19">
        <f>SUM(Table735[[#This Row],[Tax Paid Fuel (Gallons)]]-Table735[[#This Row],[Taxable Fuel (Gallons)]])</f>
        <v>218.63964191546802</v>
      </c>
      <c r="Z27" s="12">
        <v>0.30399999999999999</v>
      </c>
      <c r="AA27" s="14">
        <f>SUM(Table735[[#This Row],[Net Taxable Fuel (Gallons)]]*Table735[[#This Row],[Tax Rate]])</f>
        <v>66.466451142302276</v>
      </c>
    </row>
    <row r="28" spans="1:27" x14ac:dyDescent="0.15">
      <c r="A28">
        <v>2013</v>
      </c>
      <c r="B28" t="s">
        <v>14</v>
      </c>
      <c r="C28">
        <v>2848</v>
      </c>
      <c r="D28">
        <v>598</v>
      </c>
      <c r="F28">
        <v>2015</v>
      </c>
      <c r="G28" t="s">
        <v>14</v>
      </c>
      <c r="H28">
        <v>3178</v>
      </c>
      <c r="I28">
        <v>192</v>
      </c>
      <c r="K28">
        <v>2017</v>
      </c>
      <c r="L28" t="s">
        <v>14</v>
      </c>
      <c r="M28">
        <v>2196</v>
      </c>
      <c r="N28">
        <v>376</v>
      </c>
      <c r="P28">
        <v>2019</v>
      </c>
      <c r="Q28" t="s">
        <v>14</v>
      </c>
      <c r="R28">
        <v>0</v>
      </c>
      <c r="U28" t="s">
        <v>14</v>
      </c>
      <c r="V28">
        <f t="shared" si="0"/>
        <v>8222</v>
      </c>
      <c r="W28" s="13">
        <f t="shared" si="0"/>
        <v>1166</v>
      </c>
      <c r="X28" s="15">
        <f>SUM(Table735[[#This Row],[MILES6]]/Y43)</f>
        <v>1184.353805832294</v>
      </c>
      <c r="Y28" s="19">
        <f>SUM(Table735[[#This Row],[Tax Paid Fuel (Gallons)]]-Table735[[#This Row],[Taxable Fuel (Gallons)]])</f>
        <v>-18.353805832294029</v>
      </c>
      <c r="Z28" s="12">
        <v>0.21</v>
      </c>
      <c r="AA28" s="14">
        <f>SUM(Table735[[#This Row],[Net Taxable Fuel (Gallons)]]*Table735[[#This Row],[Tax Rate]])</f>
        <v>-3.8542992247817458</v>
      </c>
    </row>
    <row r="29" spans="1:27" x14ac:dyDescent="0.15">
      <c r="A29">
        <v>2013</v>
      </c>
      <c r="B29" t="s">
        <v>12</v>
      </c>
      <c r="C29">
        <v>0</v>
      </c>
      <c r="D29">
        <v>0</v>
      </c>
      <c r="F29">
        <v>2015</v>
      </c>
      <c r="G29" t="s">
        <v>12</v>
      </c>
      <c r="H29">
        <v>0</v>
      </c>
      <c r="I29">
        <v>0</v>
      </c>
      <c r="K29">
        <v>2017</v>
      </c>
      <c r="L29" t="s">
        <v>12</v>
      </c>
      <c r="M29">
        <v>603</v>
      </c>
      <c r="N29">
        <v>0</v>
      </c>
      <c r="P29">
        <v>2019</v>
      </c>
      <c r="Q29" t="s">
        <v>12</v>
      </c>
      <c r="R29">
        <v>0</v>
      </c>
      <c r="U29" t="s">
        <v>12</v>
      </c>
      <c r="V29">
        <f t="shared" si="0"/>
        <v>603</v>
      </c>
      <c r="W29" s="13">
        <f t="shared" si="0"/>
        <v>0</v>
      </c>
      <c r="X29" s="15">
        <f>SUM(Table735[[#This Row],[MILES6]]/Y43)</f>
        <v>86.86029493029352</v>
      </c>
      <c r="Y29" s="19">
        <f>SUM(Table735[[#This Row],[Tax Paid Fuel (Gallons)]]-Table735[[#This Row],[Taxable Fuel (Gallons)]])</f>
        <v>-86.86029493029352</v>
      </c>
      <c r="Z29" s="12">
        <v>0.23</v>
      </c>
      <c r="AA29" s="14">
        <f>SUM(Table735[[#This Row],[Net Taxable Fuel (Gallons)]]*Table735[[#This Row],[Tax Rate]])</f>
        <v>-19.977867833967512</v>
      </c>
    </row>
    <row r="30" spans="1:27" x14ac:dyDescent="0.15">
      <c r="A30">
        <v>2013</v>
      </c>
      <c r="B30" t="s">
        <v>5</v>
      </c>
      <c r="C30">
        <v>4362</v>
      </c>
      <c r="D30">
        <v>943</v>
      </c>
      <c r="F30">
        <v>2015</v>
      </c>
      <c r="G30" t="s">
        <v>5</v>
      </c>
      <c r="H30">
        <v>5117</v>
      </c>
      <c r="I30">
        <v>859</v>
      </c>
      <c r="K30">
        <v>2017</v>
      </c>
      <c r="L30" t="s">
        <v>5</v>
      </c>
      <c r="M30">
        <v>2952</v>
      </c>
      <c r="N30">
        <v>859</v>
      </c>
      <c r="P30">
        <v>2019</v>
      </c>
      <c r="Q30" t="s">
        <v>5</v>
      </c>
      <c r="R30">
        <v>6208</v>
      </c>
      <c r="S30">
        <v>1419</v>
      </c>
      <c r="U30" t="s">
        <v>5</v>
      </c>
      <c r="V30">
        <f t="shared" si="0"/>
        <v>18639</v>
      </c>
      <c r="W30" s="13">
        <f t="shared" si="0"/>
        <v>4080</v>
      </c>
      <c r="X30" s="15">
        <f>SUM(Table735[[#This Row],[MILES6]]/Y43)</f>
        <v>2684.8906089647444</v>
      </c>
      <c r="Y30" s="19">
        <f>SUM(Table735[[#This Row],[Tax Paid Fuel (Gallons)]]-Table735[[#This Row],[Taxable Fuel (Gallons)]])</f>
        <v>1395.1093910352556</v>
      </c>
      <c r="Z30" s="12">
        <v>0.27</v>
      </c>
      <c r="AA30" s="14">
        <f>SUM(Table735[[#This Row],[Net Taxable Fuel (Gallons)]]*Table735[[#This Row],[Tax Rate]])</f>
        <v>376.67953557951904</v>
      </c>
    </row>
    <row r="31" spans="1:27" x14ac:dyDescent="0.15">
      <c r="A31">
        <v>2013</v>
      </c>
      <c r="B31" t="s">
        <v>29</v>
      </c>
      <c r="C31">
        <v>0</v>
      </c>
      <c r="D31">
        <v>0</v>
      </c>
      <c r="F31">
        <v>2015</v>
      </c>
      <c r="G31" t="s">
        <v>29</v>
      </c>
      <c r="H31">
        <v>0</v>
      </c>
      <c r="I31">
        <v>0</v>
      </c>
      <c r="K31">
        <v>2017</v>
      </c>
      <c r="L31" t="s">
        <v>29</v>
      </c>
      <c r="M31">
        <v>0</v>
      </c>
      <c r="N31">
        <v>0</v>
      </c>
      <c r="P31">
        <v>2019</v>
      </c>
      <c r="Q31" t="s">
        <v>29</v>
      </c>
      <c r="R31">
        <v>0</v>
      </c>
      <c r="U31" t="s">
        <v>29</v>
      </c>
      <c r="V31">
        <f t="shared" si="0"/>
        <v>0</v>
      </c>
      <c r="W31" s="13">
        <f t="shared" si="0"/>
        <v>0</v>
      </c>
      <c r="X31" s="15">
        <f>SUM(Table735[[#This Row],[MILES6]]/Y43)</f>
        <v>0</v>
      </c>
      <c r="Y31" s="19">
        <f>SUM(Table735[[#This Row],[Tax Paid Fuel (Gallons)]]-Table735[[#This Row],[Taxable Fuel (Gallons)]])</f>
        <v>0</v>
      </c>
      <c r="Z31" s="12">
        <v>0.47</v>
      </c>
      <c r="AA31" s="14">
        <f>SUM(Table735[[#This Row],[Net Taxable Fuel (Gallons)]]*Table735[[#This Row],[Tax Rate]])</f>
        <v>0</v>
      </c>
    </row>
    <row r="32" spans="1:27" x14ac:dyDescent="0.15">
      <c r="A32">
        <v>2013</v>
      </c>
      <c r="B32" t="s">
        <v>15</v>
      </c>
      <c r="C32">
        <v>765</v>
      </c>
      <c r="D32">
        <v>166</v>
      </c>
      <c r="F32">
        <v>2015</v>
      </c>
      <c r="G32" t="s">
        <v>15</v>
      </c>
      <c r="H32">
        <v>271</v>
      </c>
      <c r="I32">
        <v>0</v>
      </c>
      <c r="K32">
        <v>2017</v>
      </c>
      <c r="L32" t="s">
        <v>15</v>
      </c>
      <c r="M32">
        <v>297</v>
      </c>
      <c r="N32">
        <v>0</v>
      </c>
      <c r="P32">
        <v>2019</v>
      </c>
      <c r="Q32" t="s">
        <v>15</v>
      </c>
      <c r="R32">
        <v>0</v>
      </c>
      <c r="U32" t="s">
        <v>15</v>
      </c>
      <c r="V32">
        <f t="shared" si="0"/>
        <v>1333</v>
      </c>
      <c r="W32" s="13">
        <f t="shared" si="0"/>
        <v>166</v>
      </c>
      <c r="X32" s="15">
        <f>SUM(Table735[[#This Row],[MILES6]]/Y43)</f>
        <v>192.01454915768036</v>
      </c>
      <c r="Y32" s="19">
        <f>SUM(Table735[[#This Row],[Tax Paid Fuel (Gallons)]]-Table735[[#This Row],[Taxable Fuel (Gallons)]])</f>
        <v>-26.014549157680364</v>
      </c>
      <c r="Z32" s="12">
        <v>0.19</v>
      </c>
      <c r="AA32" s="14">
        <f>SUM(Table735[[#This Row],[Net Taxable Fuel (Gallons)]]*Table735[[#This Row],[Tax Rate]])</f>
        <v>-4.9427643399592691</v>
      </c>
    </row>
    <row r="33" spans="1:27" x14ac:dyDescent="0.15">
      <c r="A33">
        <v>2013</v>
      </c>
      <c r="B33" t="s">
        <v>6</v>
      </c>
      <c r="C33">
        <v>785</v>
      </c>
      <c r="D33">
        <v>190</v>
      </c>
      <c r="F33">
        <v>2015</v>
      </c>
      <c r="G33" t="s">
        <v>6</v>
      </c>
      <c r="H33">
        <v>0</v>
      </c>
      <c r="I33">
        <v>0</v>
      </c>
      <c r="K33">
        <v>2017</v>
      </c>
      <c r="L33" t="s">
        <v>6</v>
      </c>
      <c r="M33">
        <v>641</v>
      </c>
      <c r="N33">
        <v>0</v>
      </c>
      <c r="P33">
        <v>2019</v>
      </c>
      <c r="Q33" t="s">
        <v>6</v>
      </c>
      <c r="R33">
        <v>803</v>
      </c>
      <c r="S33">
        <v>109</v>
      </c>
      <c r="U33" t="s">
        <v>6</v>
      </c>
      <c r="V33">
        <f t="shared" si="0"/>
        <v>2229</v>
      </c>
      <c r="W33" s="13">
        <f t="shared" si="0"/>
        <v>299</v>
      </c>
      <c r="X33" s="15">
        <f>SUM(Table735[[#This Row],[MILES6]]/Y43)</f>
        <v>321.08059270252778</v>
      </c>
      <c r="Y33" s="19">
        <f>SUM(Table735[[#This Row],[Tax Paid Fuel (Gallons)]]-Table735[[#This Row],[Taxable Fuel (Gallons)]])</f>
        <v>-22.080592702527781</v>
      </c>
      <c r="Z33" s="12">
        <v>0</v>
      </c>
      <c r="AA33" s="14">
        <f>SUM(Table735[[#This Row],[Net Taxable Fuel (Gallons)]]*Table735[[#This Row],[Tax Rate]])</f>
        <v>0</v>
      </c>
    </row>
    <row r="34" spans="1:27" x14ac:dyDescent="0.15">
      <c r="A34">
        <v>2013</v>
      </c>
      <c r="B34" t="s">
        <v>34</v>
      </c>
      <c r="C34">
        <v>0</v>
      </c>
      <c r="D34">
        <v>0</v>
      </c>
      <c r="F34">
        <v>2015</v>
      </c>
      <c r="G34" t="s">
        <v>34</v>
      </c>
      <c r="H34">
        <v>0</v>
      </c>
      <c r="I34">
        <v>0</v>
      </c>
      <c r="K34">
        <v>2017</v>
      </c>
      <c r="L34" t="s">
        <v>34</v>
      </c>
      <c r="M34">
        <v>0</v>
      </c>
      <c r="N34">
        <v>0</v>
      </c>
      <c r="P34">
        <v>2019</v>
      </c>
      <c r="Q34" t="s">
        <v>34</v>
      </c>
      <c r="R34">
        <v>0</v>
      </c>
      <c r="U34" t="s">
        <v>34</v>
      </c>
      <c r="V34">
        <f t="shared" si="0"/>
        <v>0</v>
      </c>
      <c r="W34" s="13">
        <f t="shared" si="0"/>
        <v>0</v>
      </c>
      <c r="X34" s="15">
        <f>SUM(Table735[[#This Row],[MILES6]]/Y43)</f>
        <v>0</v>
      </c>
      <c r="Y34" s="19">
        <f>SUM(Table735[[#This Row],[Tax Paid Fuel (Gallons)]]-Table735[[#This Row],[Taxable Fuel (Gallons)]])</f>
        <v>0</v>
      </c>
      <c r="Z34" s="12">
        <v>0.28000000000000003</v>
      </c>
      <c r="AA34" s="14">
        <f>SUM(Table735[[#This Row],[Net Taxable Fuel (Gallons)]]*Table735[[#This Row],[Tax Rate]])</f>
        <v>0</v>
      </c>
    </row>
    <row r="35" spans="1:27" x14ac:dyDescent="0.15">
      <c r="A35">
        <v>2013</v>
      </c>
      <c r="B35" t="s">
        <v>16</v>
      </c>
      <c r="C35">
        <v>201</v>
      </c>
      <c r="D35">
        <v>0</v>
      </c>
      <c r="F35">
        <v>2015</v>
      </c>
      <c r="G35" t="s">
        <v>16</v>
      </c>
      <c r="H35">
        <v>0</v>
      </c>
      <c r="I35">
        <v>0</v>
      </c>
      <c r="K35">
        <v>2017</v>
      </c>
      <c r="L35" t="s">
        <v>16</v>
      </c>
      <c r="M35">
        <v>420</v>
      </c>
      <c r="N35">
        <v>0</v>
      </c>
      <c r="P35">
        <v>2019</v>
      </c>
      <c r="Q35" t="s">
        <v>16</v>
      </c>
      <c r="R35">
        <v>0</v>
      </c>
      <c r="U35" t="s">
        <v>16</v>
      </c>
      <c r="V35">
        <f t="shared" si="0"/>
        <v>621</v>
      </c>
      <c r="W35" s="13">
        <f t="shared" si="0"/>
        <v>0</v>
      </c>
      <c r="X35" s="15">
        <f>SUM(Table735[[#This Row],[MILES6]]/Y43)</f>
        <v>89.453139555078394</v>
      </c>
      <c r="Y35" s="19">
        <f>SUM(Table735[[#This Row],[Tax Paid Fuel (Gallons)]]-Table735[[#This Row],[Taxable Fuel (Gallons)]])</f>
        <v>-89.453139555078394</v>
      </c>
      <c r="Z35" s="12">
        <v>0.28000000000000003</v>
      </c>
      <c r="AA35" s="14">
        <f>SUM(Table735[[#This Row],[Net Taxable Fuel (Gallons)]]*Table735[[#This Row],[Tax Rate]])</f>
        <v>-25.046879075421952</v>
      </c>
    </row>
    <row r="36" spans="1:27" x14ac:dyDescent="0.15">
      <c r="A36">
        <v>2013</v>
      </c>
      <c r="B36" t="s">
        <v>30</v>
      </c>
      <c r="C36">
        <v>206</v>
      </c>
      <c r="D36">
        <v>197</v>
      </c>
      <c r="F36">
        <v>2015</v>
      </c>
      <c r="G36" t="s">
        <v>30</v>
      </c>
      <c r="H36">
        <v>0</v>
      </c>
      <c r="I36">
        <v>0</v>
      </c>
      <c r="K36">
        <v>2017</v>
      </c>
      <c r="L36" t="s">
        <v>30</v>
      </c>
      <c r="M36">
        <v>0</v>
      </c>
      <c r="N36">
        <v>0</v>
      </c>
      <c r="P36">
        <v>2019</v>
      </c>
      <c r="Q36" t="s">
        <v>30</v>
      </c>
      <c r="R36">
        <v>0</v>
      </c>
      <c r="U36" t="s">
        <v>30</v>
      </c>
      <c r="V36">
        <f t="shared" si="0"/>
        <v>206</v>
      </c>
      <c r="W36" s="13">
        <f t="shared" si="0"/>
        <v>197</v>
      </c>
      <c r="X36" s="15">
        <f>SUM(Table735[[#This Row],[MILES6]]/Y43)</f>
        <v>29.67366626142697</v>
      </c>
      <c r="Y36" s="19">
        <f>SUM(Table735[[#This Row],[Tax Paid Fuel (Gallons)]]-Table735[[#This Row],[Taxable Fuel (Gallons)]])</f>
        <v>167.32633373857303</v>
      </c>
      <c r="Z36" s="12">
        <v>0.27</v>
      </c>
      <c r="AA36" s="14">
        <f>SUM(Table735[[#This Row],[Net Taxable Fuel (Gallons)]]*Table735[[#This Row],[Tax Rate]])</f>
        <v>45.178110109414717</v>
      </c>
    </row>
    <row r="37" spans="1:27" x14ac:dyDescent="0.15">
      <c r="A37">
        <v>2013</v>
      </c>
      <c r="B37" t="s">
        <v>17</v>
      </c>
      <c r="C37">
        <v>3111</v>
      </c>
      <c r="D37">
        <v>910</v>
      </c>
      <c r="F37">
        <v>2015</v>
      </c>
      <c r="G37" t="s">
        <v>17</v>
      </c>
      <c r="H37">
        <v>1932</v>
      </c>
      <c r="I37">
        <v>1011</v>
      </c>
      <c r="K37">
        <v>2017</v>
      </c>
      <c r="L37" t="s">
        <v>17</v>
      </c>
      <c r="M37">
        <v>3114</v>
      </c>
      <c r="N37">
        <v>1011</v>
      </c>
      <c r="P37">
        <v>2019</v>
      </c>
      <c r="Q37" t="s">
        <v>17</v>
      </c>
      <c r="R37">
        <v>0</v>
      </c>
      <c r="U37" t="s">
        <v>17</v>
      </c>
      <c r="V37">
        <f t="shared" si="0"/>
        <v>8157</v>
      </c>
      <c r="W37" s="13">
        <f t="shared" si="0"/>
        <v>2932</v>
      </c>
      <c r="X37" s="15">
        <f>SUM(Table735[[#This Row],[MILES6]]/Y43)</f>
        <v>1174.9907557983486</v>
      </c>
      <c r="Y37" s="19">
        <f>SUM(Table735[[#This Row],[Tax Paid Fuel (Gallons)]]-Table735[[#This Row],[Taxable Fuel (Gallons)]])</f>
        <v>1757.0092442016514</v>
      </c>
      <c r="Z37" s="12">
        <v>0.2</v>
      </c>
      <c r="AA37" s="14">
        <f>SUM(Table735[[#This Row],[Net Taxable Fuel (Gallons)]]*Table735[[#This Row],[Tax Rate]])</f>
        <v>351.40184884033033</v>
      </c>
    </row>
    <row r="38" spans="1:27" x14ac:dyDescent="0.15">
      <c r="A38">
        <v>2013</v>
      </c>
      <c r="B38" t="s">
        <v>7</v>
      </c>
      <c r="C38">
        <v>1327</v>
      </c>
      <c r="D38">
        <v>0</v>
      </c>
      <c r="F38">
        <v>2015</v>
      </c>
      <c r="G38" t="s">
        <v>7</v>
      </c>
      <c r="H38">
        <v>196</v>
      </c>
      <c r="K38">
        <v>2017</v>
      </c>
      <c r="L38" t="s">
        <v>7</v>
      </c>
      <c r="M38">
        <v>1548</v>
      </c>
      <c r="N38">
        <v>0</v>
      </c>
      <c r="P38">
        <v>2019</v>
      </c>
      <c r="Q38" t="s">
        <v>7</v>
      </c>
      <c r="R38">
        <v>0</v>
      </c>
      <c r="U38" t="s">
        <v>7</v>
      </c>
      <c r="V38">
        <f t="shared" si="0"/>
        <v>3071</v>
      </c>
      <c r="W38" s="13">
        <f t="shared" si="0"/>
        <v>0</v>
      </c>
      <c r="X38" s="15">
        <f>SUM(Table735[[#This Row],[MILES6]]/Y43)</f>
        <v>442.36810237302052</v>
      </c>
      <c r="Y38" s="19">
        <f>SUM(Table735[[#This Row],[Tax Paid Fuel (Gallons)]]-Table735[[#This Row],[Taxable Fuel (Gallons)]])</f>
        <v>-442.36810237302052</v>
      </c>
      <c r="Z38" s="12">
        <v>0.38500000000000001</v>
      </c>
      <c r="AA38" s="14">
        <f>SUM(Table735[[#This Row],[Net Taxable Fuel (Gallons)]]*Table735[[#This Row],[Tax Rate]])</f>
        <v>-170.31171941361291</v>
      </c>
    </row>
    <row r="39" spans="1:27" x14ac:dyDescent="0.15">
      <c r="A39">
        <v>2013</v>
      </c>
      <c r="B39" t="s">
        <v>56</v>
      </c>
      <c r="C39">
        <v>0</v>
      </c>
      <c r="D39">
        <v>0</v>
      </c>
      <c r="F39">
        <v>2015</v>
      </c>
      <c r="G39" t="s">
        <v>56</v>
      </c>
      <c r="H39">
        <v>0</v>
      </c>
      <c r="K39">
        <v>2017</v>
      </c>
      <c r="L39" t="s">
        <v>56</v>
      </c>
      <c r="M39">
        <v>0</v>
      </c>
      <c r="N39">
        <v>0</v>
      </c>
      <c r="P39">
        <v>2019</v>
      </c>
      <c r="Q39" t="s">
        <v>56</v>
      </c>
      <c r="R39">
        <v>0</v>
      </c>
      <c r="U39" t="s">
        <v>56</v>
      </c>
      <c r="V39">
        <f t="shared" si="0"/>
        <v>0</v>
      </c>
      <c r="W39" s="13">
        <f t="shared" si="0"/>
        <v>0</v>
      </c>
      <c r="X39" s="15">
        <f>SUM(Table735[[#This Row],[MILES6]]/Y43)</f>
        <v>0</v>
      </c>
      <c r="Y39" s="19">
        <f>SUM(Table735[[#This Row],[Tax Paid Fuel (Gallons)]]-Table735[[#This Row],[Taxable Fuel (Gallons)]])</f>
        <v>0</v>
      </c>
      <c r="Z39" s="12">
        <v>0.318</v>
      </c>
      <c r="AA39" s="14">
        <f>SUM(Table735[[#This Row],[Net Taxable Fuel (Gallons)]]*Table735[[#This Row],[Tax Rate]])</f>
        <v>0</v>
      </c>
    </row>
    <row r="40" spans="1:27" x14ac:dyDescent="0.15">
      <c r="A40">
        <v>2013</v>
      </c>
      <c r="B40" t="s">
        <v>8</v>
      </c>
      <c r="C40">
        <v>621</v>
      </c>
      <c r="D40">
        <v>0</v>
      </c>
      <c r="F40">
        <v>2015</v>
      </c>
      <c r="G40" t="s">
        <v>8</v>
      </c>
      <c r="H40">
        <v>0</v>
      </c>
      <c r="K40">
        <v>2017</v>
      </c>
      <c r="L40" t="s">
        <v>8</v>
      </c>
      <c r="M40">
        <v>183</v>
      </c>
      <c r="P40">
        <v>2019</v>
      </c>
      <c r="Q40" t="s">
        <v>8</v>
      </c>
      <c r="R40">
        <v>60</v>
      </c>
      <c r="U40" t="s">
        <v>8</v>
      </c>
      <c r="V40">
        <f t="shared" si="0"/>
        <v>864</v>
      </c>
      <c r="W40" s="13">
        <f t="shared" si="0"/>
        <v>0</v>
      </c>
      <c r="X40" s="15">
        <f>SUM(Table735[[#This Row],[MILES6]]/Y43)</f>
        <v>124.45654198967429</v>
      </c>
      <c r="Y40" s="19">
        <f>SUM(Table735[[#This Row],[Tax Paid Fuel (Gallons)]]-Table735[[#This Row],[Taxable Fuel (Gallons)]])</f>
        <v>-124.45654198967429</v>
      </c>
      <c r="Z40" s="12">
        <v>0.495</v>
      </c>
      <c r="AA40" s="14">
        <f>SUM(Table735[[#This Row],[Net Taxable Fuel (Gallons)]]*Table735[[#This Row],[Tax Rate]])</f>
        <v>-61.605988284888774</v>
      </c>
    </row>
    <row r="41" spans="1:27" x14ac:dyDescent="0.15">
      <c r="A41">
        <v>2013</v>
      </c>
      <c r="B41" t="s">
        <v>18</v>
      </c>
      <c r="C41">
        <v>1147</v>
      </c>
      <c r="D41">
        <v>431</v>
      </c>
      <c r="F41">
        <v>2015</v>
      </c>
      <c r="G41" t="s">
        <v>18</v>
      </c>
      <c r="H41">
        <v>399</v>
      </c>
      <c r="I41">
        <v>114</v>
      </c>
      <c r="K41">
        <v>2017</v>
      </c>
      <c r="L41" t="s">
        <v>18</v>
      </c>
      <c r="M41">
        <v>1210</v>
      </c>
      <c r="N41">
        <v>290</v>
      </c>
      <c r="P41">
        <v>2019</v>
      </c>
      <c r="Q41" t="s">
        <v>18</v>
      </c>
      <c r="R41">
        <v>0</v>
      </c>
      <c r="U41" t="s">
        <v>18</v>
      </c>
      <c r="V41">
        <f t="shared" si="0"/>
        <v>2756</v>
      </c>
      <c r="W41" s="13">
        <f t="shared" si="0"/>
        <v>835</v>
      </c>
      <c r="X41" s="15">
        <f>SUM(Y77)</f>
        <v>0</v>
      </c>
      <c r="Y41" s="19">
        <f>SUM(Table735[[#This Row],[Tax Paid Fuel (Gallons)]]-Table735[[#This Row],[Taxable Fuel (Gallons)]])</f>
        <v>835</v>
      </c>
      <c r="Z41" s="12">
        <v>0.24</v>
      </c>
      <c r="AA41" s="14">
        <f>SUM(Table735[[#This Row],[Net Taxable Fuel (Gallons)]]*Table735[[#This Row],[Tax Rate]])</f>
        <v>200.4</v>
      </c>
    </row>
    <row r="42" spans="1:27" x14ac:dyDescent="0.15">
      <c r="A42">
        <v>2013</v>
      </c>
      <c r="B42" s="7" t="s">
        <v>58</v>
      </c>
      <c r="C42">
        <v>288</v>
      </c>
      <c r="F42">
        <v>2015</v>
      </c>
      <c r="G42" s="7" t="s">
        <v>58</v>
      </c>
      <c r="H42">
        <v>0</v>
      </c>
      <c r="K42">
        <v>2017</v>
      </c>
      <c r="L42" s="7" t="s">
        <v>58</v>
      </c>
      <c r="M42">
        <v>0</v>
      </c>
      <c r="P42">
        <v>2019</v>
      </c>
      <c r="Q42" s="7" t="s">
        <v>58</v>
      </c>
      <c r="R42">
        <v>0</v>
      </c>
      <c r="U42" s="7" t="s">
        <v>58</v>
      </c>
      <c r="V42">
        <f t="shared" si="0"/>
        <v>288</v>
      </c>
      <c r="W42" s="13">
        <f t="shared" si="0"/>
        <v>0</v>
      </c>
      <c r="X42" s="15">
        <f>SUM(Table735[[#This Row],[MILES6]]/Y43)</f>
        <v>41.485513996558097</v>
      </c>
      <c r="Y42" s="19">
        <f>SUM(Table735[[#This Row],[Tax Paid Fuel (Gallons)]]-Table735[[#This Row],[Taxable Fuel (Gallons)]])</f>
        <v>-41.485513996558097</v>
      </c>
      <c r="Z42" s="12">
        <v>0.32900000000000001</v>
      </c>
      <c r="AA42" s="14">
        <f>SUM(Table735[[#This Row],[Net Taxable Fuel (Gallons)]]*Table735[[#This Row],[Tax Rate]])</f>
        <v>-13.648734104867614</v>
      </c>
    </row>
    <row r="43" spans="1:27" x14ac:dyDescent="0.15">
      <c r="A43">
        <v>2013</v>
      </c>
      <c r="B43" t="s">
        <v>9</v>
      </c>
      <c r="C43">
        <f>SUM(C7:C42)</f>
        <v>34339</v>
      </c>
      <c r="D43">
        <f>SUM(D7:D42)</f>
        <v>5344</v>
      </c>
      <c r="E43">
        <f>SUM(C43/D43)</f>
        <v>6.4257110778443112</v>
      </c>
      <c r="F43">
        <v>2015</v>
      </c>
      <c r="G43" t="s">
        <v>9</v>
      </c>
      <c r="H43">
        <f>SUM(H7:H42)</f>
        <v>31698</v>
      </c>
      <c r="I43">
        <f>SUM(I7:I42)</f>
        <v>4580</v>
      </c>
      <c r="J43">
        <f>SUM(H43/I43)</f>
        <v>6.9209606986899566</v>
      </c>
      <c r="K43">
        <v>2017</v>
      </c>
      <c r="L43" t="s">
        <v>9</v>
      </c>
      <c r="M43">
        <f>SUM(M7:M42)</f>
        <v>30853</v>
      </c>
      <c r="N43">
        <f>SUM(N7:N42)</f>
        <v>4149</v>
      </c>
      <c r="O43">
        <f>SUM(M43/N43)</f>
        <v>7.4362496987225839</v>
      </c>
      <c r="P43">
        <v>2019</v>
      </c>
      <c r="Q43" t="s">
        <v>9</v>
      </c>
      <c r="R43">
        <f>SUM(R7:R42)</f>
        <v>29784</v>
      </c>
      <c r="S43">
        <f>SUM(S7:S42)</f>
        <v>4174</v>
      </c>
      <c r="T43">
        <f>SUM(R43/S43)</f>
        <v>7.1356013416387158</v>
      </c>
      <c r="U43" t="s">
        <v>9</v>
      </c>
      <c r="V43">
        <f t="shared" si="0"/>
        <v>126674</v>
      </c>
      <c r="W43" s="13">
        <f>SUM(W7:W42)</f>
        <v>18247</v>
      </c>
      <c r="X43" s="15">
        <f t="shared" ref="X43:X50" si="1">SUM(Y79)</f>
        <v>0</v>
      </c>
      <c r="Y43" s="17">
        <f>SUM(V43/W43)</f>
        <v>6.9421822765386088</v>
      </c>
      <c r="AA43" s="12">
        <f>SUM(Table735[[#This Row],[Net Taxable Fuel (Gallons)]]*Table735[[#This Row],[Tax Rate]])</f>
        <v>0</v>
      </c>
    </row>
    <row r="44" spans="1:27" x14ac:dyDescent="0.15">
      <c r="E44" t="s">
        <v>39</v>
      </c>
      <c r="J44" t="s">
        <v>39</v>
      </c>
      <c r="O44" t="s">
        <v>39</v>
      </c>
      <c r="T44" t="s">
        <v>39</v>
      </c>
      <c r="W44" s="13"/>
      <c r="X44">
        <f t="shared" si="1"/>
        <v>0</v>
      </c>
      <c r="Y44" s="13" t="s">
        <v>39</v>
      </c>
      <c r="AA44" s="12"/>
    </row>
    <row r="45" spans="1:27" ht="24" x14ac:dyDescent="0.15">
      <c r="A45" s="6">
        <v>977.35</v>
      </c>
      <c r="F45" s="29">
        <v>877.4</v>
      </c>
      <c r="J45" s="3" t="s">
        <v>57</v>
      </c>
      <c r="K45" s="30">
        <v>375.25</v>
      </c>
      <c r="P45" s="6">
        <v>1144.26</v>
      </c>
      <c r="V45">
        <f t="shared" ref="V45:W50" si="2">SUM(C45,H45,M45,R45)</f>
        <v>0</v>
      </c>
      <c r="W45" s="13">
        <f t="shared" si="2"/>
        <v>0</v>
      </c>
      <c r="X45">
        <f t="shared" si="1"/>
        <v>0</v>
      </c>
      <c r="Y45" s="18">
        <f>SUM(Table735[[#This Row],[2013]],Table735[[#This Row],[2015]],Table735[[#This Row],[2017]],Table735[[#This Row],[2019]])</f>
        <v>3374.26</v>
      </c>
      <c r="Z45" s="10"/>
      <c r="AA45" s="20"/>
    </row>
    <row r="46" spans="1:27" x14ac:dyDescent="0.15">
      <c r="F46" s="3"/>
      <c r="V46">
        <f t="shared" si="2"/>
        <v>0</v>
      </c>
      <c r="W46" s="13">
        <f t="shared" si="2"/>
        <v>0</v>
      </c>
      <c r="X46">
        <f t="shared" si="1"/>
        <v>0</v>
      </c>
      <c r="Y46" s="13"/>
      <c r="AA46" s="14"/>
    </row>
    <row r="47" spans="1:27" x14ac:dyDescent="0.15">
      <c r="A47" s="5" t="s">
        <v>26</v>
      </c>
      <c r="B47">
        <v>5.76</v>
      </c>
      <c r="F47" t="s">
        <v>26</v>
      </c>
      <c r="K47" t="s">
        <v>26</v>
      </c>
      <c r="P47" t="s">
        <v>26</v>
      </c>
      <c r="V47">
        <f t="shared" si="2"/>
        <v>0</v>
      </c>
      <c r="W47" s="13">
        <f t="shared" si="2"/>
        <v>0</v>
      </c>
      <c r="X47">
        <f t="shared" si="1"/>
        <v>0</v>
      </c>
      <c r="Y47" s="13"/>
      <c r="AA47" s="14">
        <f>SUM(Table735[[#This Row],[Net Taxable Fuel (Gallons)]]*Table735[[#This Row],[Tax Rate]])</f>
        <v>0</v>
      </c>
    </row>
    <row r="48" spans="1:27" x14ac:dyDescent="0.15">
      <c r="A48" s="6" t="s">
        <v>14</v>
      </c>
      <c r="B48">
        <v>124.69</v>
      </c>
      <c r="F48" s="7" t="s">
        <v>14</v>
      </c>
      <c r="G48" s="7">
        <v>139.13</v>
      </c>
      <c r="K48" t="s">
        <v>14</v>
      </c>
      <c r="L48">
        <v>96.14</v>
      </c>
      <c r="P48" t="s">
        <v>14</v>
      </c>
      <c r="V48">
        <f t="shared" si="2"/>
        <v>0</v>
      </c>
      <c r="W48" s="13">
        <f t="shared" si="2"/>
        <v>0</v>
      </c>
      <c r="X48">
        <f t="shared" si="1"/>
        <v>0</v>
      </c>
      <c r="Y48" s="13"/>
      <c r="AA48" s="14">
        <f>SUM(Table735[[#This Row],[Net Taxable Fuel (Gallons)]]*Table735[[#This Row],[Tax Rate]])</f>
        <v>0</v>
      </c>
    </row>
    <row r="49" spans="1:27" x14ac:dyDescent="0.15">
      <c r="A49" s="21" t="s">
        <v>66</v>
      </c>
      <c r="F49" s="22" t="s">
        <v>66</v>
      </c>
      <c r="J49" s="6"/>
      <c r="K49" s="6" t="s">
        <v>66</v>
      </c>
      <c r="P49" s="6" t="s">
        <v>66</v>
      </c>
      <c r="V49">
        <f t="shared" si="2"/>
        <v>0</v>
      </c>
      <c r="W49" s="13">
        <f t="shared" si="2"/>
        <v>0</v>
      </c>
      <c r="X49">
        <f t="shared" si="1"/>
        <v>0</v>
      </c>
      <c r="Y49" s="13"/>
      <c r="AA49" s="14">
        <f>SUM(Table735[[#This Row],[Net Taxable Fuel (Gallons)]]*Table735[[#This Row],[Tax Rate]])</f>
        <v>0</v>
      </c>
    </row>
    <row r="50" spans="1:27" x14ac:dyDescent="0.15">
      <c r="A50" t="s">
        <v>65</v>
      </c>
      <c r="F50" t="s">
        <v>65</v>
      </c>
      <c r="K50" t="s">
        <v>65</v>
      </c>
      <c r="P50" t="s">
        <v>65</v>
      </c>
      <c r="V50">
        <f t="shared" si="2"/>
        <v>0</v>
      </c>
      <c r="W50" s="13">
        <f t="shared" si="2"/>
        <v>0</v>
      </c>
      <c r="X50">
        <f t="shared" si="1"/>
        <v>0</v>
      </c>
      <c r="Y50" s="13"/>
      <c r="AA50" s="14">
        <f>SUM(Table735[[#This Row],[Net Taxable Fuel (Gallons)]]*Table735[[#This Row],[Tax Rate]])</f>
        <v>0</v>
      </c>
    </row>
  </sheetData>
  <mergeCells count="1">
    <mergeCell ref="A1:AA5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5B0E3-B32E-4A16-9862-5D64DDEE3671}">
  <dimension ref="A1:AA50"/>
  <sheetViews>
    <sheetView topLeftCell="A5" workbookViewId="0">
      <selection activeCell="N54" sqref="N54"/>
    </sheetView>
  </sheetViews>
  <sheetFormatPr defaultColWidth="8.76171875" defaultRowHeight="12.75" x14ac:dyDescent="0.15"/>
  <cols>
    <col min="2" max="2" width="10.11328125" bestFit="1" customWidth="1"/>
    <col min="7" max="7" width="10.11328125" bestFit="1" customWidth="1"/>
    <col min="16" max="16" width="10.11328125" bestFit="1" customWidth="1"/>
    <col min="22" max="22" width="10.3828125" customWidth="1"/>
    <col min="23" max="23" width="15.1015625" customWidth="1"/>
    <col min="24" max="24" width="18.609375" customWidth="1"/>
    <col min="25" max="25" width="19.8203125" customWidth="1"/>
    <col min="26" max="26" width="12" customWidth="1"/>
    <col min="27" max="27" width="20.6328125" customWidth="1"/>
  </cols>
  <sheetData>
    <row r="1" spans="1:27" x14ac:dyDescent="0.15">
      <c r="A1" s="36" t="s">
        <v>98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</row>
    <row r="2" spans="1:27" x14ac:dyDescent="0.15">
      <c r="A2" s="36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</row>
    <row r="3" spans="1:27" x14ac:dyDescent="0.15">
      <c r="A3" s="36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</row>
    <row r="4" spans="1:27" x14ac:dyDescent="0.15">
      <c r="A4" s="36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</row>
    <row r="5" spans="1:27" x14ac:dyDescent="0.15">
      <c r="A5" s="36"/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</row>
    <row r="6" spans="1:27" x14ac:dyDescent="0.15">
      <c r="A6" t="s">
        <v>31</v>
      </c>
      <c r="B6" t="s">
        <v>36</v>
      </c>
      <c r="C6" t="s">
        <v>37</v>
      </c>
      <c r="D6" t="s">
        <v>38</v>
      </c>
      <c r="E6" t="s">
        <v>39</v>
      </c>
      <c r="F6" t="s">
        <v>89</v>
      </c>
      <c r="G6" t="s">
        <v>40</v>
      </c>
      <c r="H6" t="s">
        <v>41</v>
      </c>
      <c r="I6" t="s">
        <v>42</v>
      </c>
      <c r="J6" t="s">
        <v>43</v>
      </c>
      <c r="K6" t="s">
        <v>10</v>
      </c>
      <c r="L6" t="s">
        <v>44</v>
      </c>
      <c r="M6" t="s">
        <v>45</v>
      </c>
      <c r="N6" t="s">
        <v>46</v>
      </c>
      <c r="O6" t="s">
        <v>47</v>
      </c>
      <c r="P6" t="s">
        <v>0</v>
      </c>
      <c r="Q6" t="s">
        <v>48</v>
      </c>
      <c r="R6" t="s">
        <v>49</v>
      </c>
      <c r="S6" t="s">
        <v>50</v>
      </c>
      <c r="T6" t="s">
        <v>51</v>
      </c>
      <c r="U6" t="s">
        <v>52</v>
      </c>
      <c r="V6" t="s">
        <v>53</v>
      </c>
      <c r="W6" s="13" t="s">
        <v>61</v>
      </c>
      <c r="X6" t="s">
        <v>62</v>
      </c>
      <c r="Y6" s="13" t="s">
        <v>63</v>
      </c>
      <c r="Z6" t="s">
        <v>35</v>
      </c>
      <c r="AA6" t="s">
        <v>64</v>
      </c>
    </row>
    <row r="7" spans="1:27" x14ac:dyDescent="0.15">
      <c r="A7">
        <v>2013</v>
      </c>
      <c r="B7" t="s">
        <v>20</v>
      </c>
      <c r="F7">
        <v>2015</v>
      </c>
      <c r="G7" t="s">
        <v>20</v>
      </c>
      <c r="K7">
        <v>2017</v>
      </c>
      <c r="L7" t="s">
        <v>20</v>
      </c>
      <c r="M7">
        <v>191</v>
      </c>
      <c r="N7">
        <v>173</v>
      </c>
      <c r="P7">
        <v>2019</v>
      </c>
      <c r="Q7" t="s">
        <v>20</v>
      </c>
      <c r="U7" t="s">
        <v>20</v>
      </c>
      <c r="V7">
        <f t="shared" ref="V7:W43" si="0">SUM(C7,H7,M7,R7)</f>
        <v>191</v>
      </c>
      <c r="W7" s="13">
        <f t="shared" si="0"/>
        <v>173</v>
      </c>
      <c r="X7" s="15">
        <f>SUM(Table7356[[#This Row],[MILES6]]/Y43)</f>
        <v>27.557051140859663</v>
      </c>
      <c r="Y7" s="17">
        <f>SUM(Table7356[[#This Row],[Tax Paid Fuel (Gallons)]]-Table7356[[#This Row],[Taxable Fuel (Gallons)]])</f>
        <v>145.44294885914033</v>
      </c>
      <c r="Z7" s="11">
        <v>0.3</v>
      </c>
      <c r="AA7" s="16">
        <f>SUM(Table7356[[#This Row],[Net Taxable Fuel (Gallons)]]*Table7356[[#This Row],[Tax Rate]])</f>
        <v>43.632884657742096</v>
      </c>
    </row>
    <row r="8" spans="1:27" x14ac:dyDescent="0.15">
      <c r="A8">
        <v>2013</v>
      </c>
      <c r="B8" t="s">
        <v>21</v>
      </c>
      <c r="F8">
        <v>2015</v>
      </c>
      <c r="G8" t="s">
        <v>21</v>
      </c>
      <c r="K8">
        <v>2017</v>
      </c>
      <c r="L8" t="s">
        <v>21</v>
      </c>
      <c r="M8">
        <v>1078</v>
      </c>
      <c r="P8">
        <v>2019</v>
      </c>
      <c r="Q8" t="s">
        <v>21</v>
      </c>
      <c r="U8" t="s">
        <v>21</v>
      </c>
      <c r="V8">
        <f t="shared" si="0"/>
        <v>1078</v>
      </c>
      <c r="W8" s="13">
        <f>SUM(D8,I8,N8,S8)</f>
        <v>0</v>
      </c>
      <c r="X8" s="15">
        <f>SUM(Table7356[[#This Row],[MILES6]]/Y43)</f>
        <v>155.53141952799328</v>
      </c>
      <c r="Y8" s="19">
        <f>SUM(Table7356[[#This Row],[Tax Paid Fuel (Gallons)]]-Table7356[[#This Row],[Taxable Fuel (Gallons)]])</f>
        <v>-155.53141952799328</v>
      </c>
      <c r="Z8" s="12">
        <v>0.28499999999999998</v>
      </c>
      <c r="AA8" s="14">
        <f>SUM(Table7356[[#This Row],[Net Taxable Fuel (Gallons)]]*Table7356[[#This Row],[Tax Rate]])</f>
        <v>-44.32645456547808</v>
      </c>
    </row>
    <row r="9" spans="1:27" x14ac:dyDescent="0.15">
      <c r="A9">
        <v>2013</v>
      </c>
      <c r="B9" t="s">
        <v>1</v>
      </c>
      <c r="C9">
        <v>4666</v>
      </c>
      <c r="D9">
        <v>928</v>
      </c>
      <c r="F9">
        <v>2015</v>
      </c>
      <c r="G9" t="s">
        <v>1</v>
      </c>
      <c r="H9">
        <v>6047</v>
      </c>
      <c r="I9">
        <v>903</v>
      </c>
      <c r="K9">
        <v>2017</v>
      </c>
      <c r="L9" t="s">
        <v>1</v>
      </c>
      <c r="M9">
        <v>3685</v>
      </c>
      <c r="N9">
        <v>729</v>
      </c>
      <c r="P9">
        <v>2019</v>
      </c>
      <c r="Q9" t="s">
        <v>1</v>
      </c>
      <c r="R9">
        <v>7740</v>
      </c>
      <c r="S9">
        <v>1997</v>
      </c>
      <c r="U9" t="s">
        <v>1</v>
      </c>
      <c r="V9">
        <f t="shared" si="0"/>
        <v>22138</v>
      </c>
      <c r="W9" s="13">
        <f>SUM(D9,I9,N9,S9)</f>
        <v>4557</v>
      </c>
      <c r="X9" s="15">
        <f>SUM(Table7356[[#This Row],[MILES6]]/Y43)</f>
        <v>3194.0209327557654</v>
      </c>
      <c r="Y9" s="19">
        <f>SUM(Table7356[[#This Row],[Tax Paid Fuel (Gallons)]]-Table7356[[#This Row],[Taxable Fuel (Gallons)]])</f>
        <v>1362.9790672442346</v>
      </c>
      <c r="Z9" s="12">
        <v>0.26</v>
      </c>
      <c r="AA9" s="14">
        <f>SUM(Table7356[[#This Row],[Net Taxable Fuel (Gallons)]]*Table7356[[#This Row],[Tax Rate]])</f>
        <v>354.37455748350101</v>
      </c>
    </row>
    <row r="10" spans="1:27" x14ac:dyDescent="0.15">
      <c r="A10">
        <v>2013</v>
      </c>
      <c r="B10" t="s">
        <v>2</v>
      </c>
      <c r="C10">
        <v>11518</v>
      </c>
      <c r="D10">
        <v>370</v>
      </c>
      <c r="F10">
        <v>2015</v>
      </c>
      <c r="G10" t="s">
        <v>2</v>
      </c>
      <c r="H10">
        <v>13465</v>
      </c>
      <c r="I10">
        <v>193</v>
      </c>
      <c r="K10">
        <v>2017</v>
      </c>
      <c r="L10" t="s">
        <v>2</v>
      </c>
      <c r="M10">
        <v>4689</v>
      </c>
      <c r="N10">
        <v>447</v>
      </c>
      <c r="P10">
        <v>2019</v>
      </c>
      <c r="Q10" t="s">
        <v>2</v>
      </c>
      <c r="R10">
        <v>9095</v>
      </c>
      <c r="S10">
        <v>132</v>
      </c>
      <c r="U10" t="s">
        <v>2</v>
      </c>
      <c r="V10">
        <f t="shared" si="0"/>
        <v>38767</v>
      </c>
      <c r="W10" s="13">
        <f>SUM(D10,I10,N10,S10)</f>
        <v>1142</v>
      </c>
      <c r="X10" s="15">
        <f>SUM(Table7356[[#This Row],[MILES6]]/Y43)</f>
        <v>5593.2157150665262</v>
      </c>
      <c r="Y10" s="19">
        <f>SUM(Table7356[[#This Row],[Tax Paid Fuel (Gallons)]]-Table7356[[#This Row],[Taxable Fuel (Gallons)]])</f>
        <v>-4451.2157150665262</v>
      </c>
      <c r="Z10" s="12">
        <v>1.0229999999999999</v>
      </c>
      <c r="AA10" s="14">
        <f>SUM(Table7356[[#This Row],[Net Taxable Fuel (Gallons)]]*Table7356[[#This Row],[Tax Rate]])</f>
        <v>-4553.5936765130555</v>
      </c>
    </row>
    <row r="11" spans="1:27" x14ac:dyDescent="0.15">
      <c r="A11">
        <v>2013</v>
      </c>
      <c r="B11" t="s">
        <v>11</v>
      </c>
      <c r="C11">
        <v>253</v>
      </c>
      <c r="F11">
        <v>2015</v>
      </c>
      <c r="G11" t="s">
        <v>11</v>
      </c>
      <c r="H11">
        <v>334</v>
      </c>
      <c r="K11">
        <v>2017</v>
      </c>
      <c r="L11" t="s">
        <v>11</v>
      </c>
      <c r="M11">
        <v>257</v>
      </c>
      <c r="P11">
        <v>2019</v>
      </c>
      <c r="Q11" t="s">
        <v>11</v>
      </c>
      <c r="U11" t="s">
        <v>11</v>
      </c>
      <c r="V11">
        <f t="shared" si="0"/>
        <v>844</v>
      </c>
      <c r="W11" s="13">
        <f t="shared" si="0"/>
        <v>0</v>
      </c>
      <c r="X11" s="15">
        <f>SUM(Table7356[[#This Row],[MILES6]]/Y43)</f>
        <v>121.77042493657359</v>
      </c>
      <c r="Y11" s="19">
        <f>SUM(Table7356[[#This Row],[Tax Paid Fuel (Gallons)]]-Table7356[[#This Row],[Taxable Fuel (Gallons)]])</f>
        <v>-121.77042493657359</v>
      </c>
      <c r="Z11" s="12">
        <v>0.28499999999999998</v>
      </c>
      <c r="AA11" s="14">
        <f>SUM(Table7356[[#This Row],[Net Taxable Fuel (Gallons)]]*Table7356[[#This Row],[Tax Rate]])</f>
        <v>-34.704571106923467</v>
      </c>
    </row>
    <row r="12" spans="1:27" x14ac:dyDescent="0.15">
      <c r="A12">
        <v>2013</v>
      </c>
      <c r="B12" s="7" t="s">
        <v>59</v>
      </c>
      <c r="F12">
        <v>2015</v>
      </c>
      <c r="G12" s="7" t="s">
        <v>59</v>
      </c>
      <c r="K12">
        <v>2017</v>
      </c>
      <c r="L12" s="7" t="s">
        <v>59</v>
      </c>
      <c r="P12">
        <v>2019</v>
      </c>
      <c r="Q12" s="7" t="s">
        <v>59</v>
      </c>
      <c r="U12" s="7" t="s">
        <v>59</v>
      </c>
      <c r="V12">
        <f t="shared" si="0"/>
        <v>0</v>
      </c>
      <c r="W12" s="13">
        <f t="shared" si="0"/>
        <v>0</v>
      </c>
      <c r="X12" s="15">
        <f>SUM(Table7356[[#This Row],[MILES6]]/Y43)</f>
        <v>0</v>
      </c>
      <c r="Y12" s="19">
        <f>SUM(Table7356[[#This Row],[Tax Paid Fuel (Gallons)]]-Table7356[[#This Row],[Taxable Fuel (Gallons)]])</f>
        <v>0</v>
      </c>
      <c r="Z12" s="12">
        <v>0.4027</v>
      </c>
      <c r="AA12" s="14">
        <f>SUM(Table7356[[#This Row],[Net Taxable Fuel (Gallons)]]*Table7356[[#This Row],[Tax Rate]])</f>
        <v>0</v>
      </c>
    </row>
    <row r="13" spans="1:27" x14ac:dyDescent="0.15">
      <c r="A13">
        <v>2013</v>
      </c>
      <c r="B13" t="s">
        <v>32</v>
      </c>
      <c r="F13">
        <v>2015</v>
      </c>
      <c r="G13" t="s">
        <v>32</v>
      </c>
      <c r="K13">
        <v>2017</v>
      </c>
      <c r="L13" t="s">
        <v>32</v>
      </c>
      <c r="M13">
        <v>222</v>
      </c>
      <c r="P13">
        <v>2019</v>
      </c>
      <c r="Q13" t="s">
        <v>32</v>
      </c>
      <c r="U13" t="s">
        <v>32</v>
      </c>
      <c r="V13">
        <f t="shared" si="0"/>
        <v>222</v>
      </c>
      <c r="W13" s="13">
        <f t="shared" si="0"/>
        <v>0</v>
      </c>
      <c r="X13" s="15">
        <f>SUM(Table7356[[#This Row],[MILES6]]/Y43)</f>
        <v>32.029661535449449</v>
      </c>
      <c r="Y13" s="19">
        <f>SUM(Table7356[[#This Row],[Tax Paid Fuel (Gallons)]]-Table7356[[#This Row],[Taxable Fuel (Gallons)]])</f>
        <v>-32.029661535449449</v>
      </c>
      <c r="Z13" s="12">
        <v>0.371</v>
      </c>
      <c r="AA13" s="14">
        <f>SUM(Table7356[[#This Row],[Net Taxable Fuel (Gallons)]]*Table7356[[#This Row],[Tax Rate]])</f>
        <v>-11.883004429651745</v>
      </c>
    </row>
    <row r="14" spans="1:27" x14ac:dyDescent="0.15">
      <c r="A14">
        <v>2013</v>
      </c>
      <c r="B14" t="s">
        <v>22</v>
      </c>
      <c r="C14">
        <v>4</v>
      </c>
      <c r="F14">
        <v>2015</v>
      </c>
      <c r="G14" t="s">
        <v>22</v>
      </c>
      <c r="K14">
        <v>2017</v>
      </c>
      <c r="L14" t="s">
        <v>22</v>
      </c>
      <c r="M14">
        <v>746</v>
      </c>
      <c r="N14">
        <v>152</v>
      </c>
      <c r="P14">
        <v>2019</v>
      </c>
      <c r="Q14" t="s">
        <v>22</v>
      </c>
      <c r="U14" t="s">
        <v>22</v>
      </c>
      <c r="V14">
        <f t="shared" si="0"/>
        <v>750</v>
      </c>
      <c r="W14" s="13">
        <f t="shared" si="0"/>
        <v>152</v>
      </c>
      <c r="X14" s="15">
        <f>SUM(Table7356[[#This Row],[MILES6]]/Y43)</f>
        <v>108.20831599814004</v>
      </c>
      <c r="Y14" s="19">
        <f>SUM(Table7356[[#This Row],[Tax Paid Fuel (Gallons)]]-Table7356[[#This Row],[Taxable Fuel (Gallons)]])</f>
        <v>43.791684001859963</v>
      </c>
      <c r="Z14" s="12">
        <v>0.32500000000000001</v>
      </c>
      <c r="AA14" s="14">
        <f>SUM(Table7356[[#This Row],[Net Taxable Fuel (Gallons)]]*Table7356[[#This Row],[Tax Rate]])</f>
        <v>14.232297300604488</v>
      </c>
    </row>
    <row r="15" spans="1:27" x14ac:dyDescent="0.15">
      <c r="A15">
        <v>2013</v>
      </c>
      <c r="B15" t="s">
        <v>3</v>
      </c>
      <c r="C15">
        <v>562</v>
      </c>
      <c r="F15">
        <v>2015</v>
      </c>
      <c r="G15" t="s">
        <v>3</v>
      </c>
      <c r="H15">
        <v>267</v>
      </c>
      <c r="K15">
        <v>2017</v>
      </c>
      <c r="L15" t="s">
        <v>3</v>
      </c>
      <c r="P15">
        <v>2019</v>
      </c>
      <c r="Q15" t="s">
        <v>3</v>
      </c>
      <c r="U15" t="s">
        <v>3</v>
      </c>
      <c r="V15">
        <f t="shared" si="0"/>
        <v>829</v>
      </c>
      <c r="W15" s="13">
        <f t="shared" si="0"/>
        <v>0</v>
      </c>
      <c r="X15" s="15">
        <f>SUM(Table7356[[#This Row],[MILES6]]/Y43)</f>
        <v>119.60625861661079</v>
      </c>
      <c r="Y15" s="19">
        <f>SUM(Table7356[[#This Row],[Tax Paid Fuel (Gallons)]]-X15)</f>
        <v>-119.60625861661079</v>
      </c>
      <c r="Z15" s="12">
        <v>0.32</v>
      </c>
      <c r="AA15" s="14">
        <f>SUM(Table7356[[#This Row],[Net Taxable Fuel (Gallons)]]*Table7356[[#This Row],[Tax Rate]])</f>
        <v>-38.274002757315451</v>
      </c>
    </row>
    <row r="16" spans="1:27" x14ac:dyDescent="0.15">
      <c r="A16">
        <v>2013</v>
      </c>
      <c r="B16" t="s">
        <v>23</v>
      </c>
      <c r="F16">
        <v>2015</v>
      </c>
      <c r="G16" t="s">
        <v>23</v>
      </c>
      <c r="K16">
        <v>2017</v>
      </c>
      <c r="L16" t="s">
        <v>23</v>
      </c>
      <c r="M16">
        <v>732</v>
      </c>
      <c r="P16">
        <v>2019</v>
      </c>
      <c r="Q16" t="s">
        <v>23</v>
      </c>
      <c r="U16" t="s">
        <v>23</v>
      </c>
      <c r="V16">
        <f t="shared" si="0"/>
        <v>732</v>
      </c>
      <c r="W16" s="13">
        <f t="shared" si="0"/>
        <v>0</v>
      </c>
      <c r="X16" s="15">
        <f>SUM(Table7356[[#This Row],[MILES6]]/Y43)</f>
        <v>105.61131641418467</v>
      </c>
      <c r="Y16" s="19">
        <f>SUM(Table7356[[#This Row],[Tax Paid Fuel (Gallons)]]-Table7356[[#This Row],[Taxable Fuel (Gallons)]])</f>
        <v>-105.61131641418467</v>
      </c>
      <c r="Z16" s="12">
        <v>0.73599999999999999</v>
      </c>
      <c r="AA16" s="14">
        <f>SUM(Table7356[[#This Row],[Net Taxable Fuel (Gallons)]]*Table7356[[#This Row],[Tax Rate]])</f>
        <v>-77.729928880839921</v>
      </c>
    </row>
    <row r="17" spans="1:27" x14ac:dyDescent="0.15">
      <c r="A17">
        <v>2013</v>
      </c>
      <c r="B17" t="s">
        <v>24</v>
      </c>
      <c r="F17">
        <v>2015</v>
      </c>
      <c r="G17" t="s">
        <v>24</v>
      </c>
      <c r="K17">
        <v>2017</v>
      </c>
      <c r="L17" t="s">
        <v>24</v>
      </c>
      <c r="M17">
        <v>753</v>
      </c>
      <c r="P17">
        <v>2019</v>
      </c>
      <c r="Q17" t="s">
        <v>24</v>
      </c>
      <c r="U17" t="s">
        <v>24</v>
      </c>
      <c r="V17">
        <f t="shared" si="0"/>
        <v>753</v>
      </c>
      <c r="W17" s="13">
        <f t="shared" si="0"/>
        <v>0</v>
      </c>
      <c r="X17" s="15">
        <f>SUM(Table7356[[#This Row],[MILES6]]/Y43)</f>
        <v>108.6411492621326</v>
      </c>
      <c r="Y17" s="19">
        <f>SUM(Table7356[[#This Row],[Tax Paid Fuel (Gallons)]]-Table7356[[#This Row],[Taxable Fuel (Gallons)]])</f>
        <v>-108.6411492621326</v>
      </c>
      <c r="Z17" s="12">
        <v>0.59</v>
      </c>
      <c r="AA17" s="14">
        <f>SUM(Table7356[[#This Row],[Net Taxable Fuel (Gallons)]]*Table7356[[#This Row],[Tax Rate]])</f>
        <v>-64.098278064658231</v>
      </c>
    </row>
    <row r="18" spans="1:27" x14ac:dyDescent="0.15">
      <c r="A18">
        <v>2013</v>
      </c>
      <c r="B18" t="s">
        <v>25</v>
      </c>
      <c r="C18">
        <v>729</v>
      </c>
      <c r="D18">
        <v>287</v>
      </c>
      <c r="F18">
        <v>2015</v>
      </c>
      <c r="G18" t="s">
        <v>25</v>
      </c>
      <c r="H18">
        <v>434</v>
      </c>
      <c r="I18">
        <v>99</v>
      </c>
      <c r="K18">
        <v>2017</v>
      </c>
      <c r="L18" t="s">
        <v>25</v>
      </c>
      <c r="M18">
        <v>796</v>
      </c>
      <c r="P18">
        <v>2019</v>
      </c>
      <c r="Q18" t="s">
        <v>25</v>
      </c>
      <c r="U18" t="s">
        <v>25</v>
      </c>
      <c r="V18">
        <f t="shared" si="0"/>
        <v>1959</v>
      </c>
      <c r="W18" s="13">
        <f t="shared" si="0"/>
        <v>386</v>
      </c>
      <c r="X18" s="15">
        <f>SUM(Table7356[[#This Row],[MILES6]]/Y43)</f>
        <v>282.64012138714179</v>
      </c>
      <c r="Y18" s="19">
        <f>SUM(Table7356[[#This Row],[Tax Paid Fuel (Gallons)]]-Table7356[[#This Row],[Taxable Fuel (Gallons)]])</f>
        <v>103.35987861285821</v>
      </c>
      <c r="Z18" s="12">
        <v>0.26</v>
      </c>
      <c r="AA18" s="14">
        <f>SUM(Table7356[[#This Row],[Net Taxable Fuel (Gallons)]]*Table7356[[#This Row],[Tax Rate]])</f>
        <v>26.873568439343135</v>
      </c>
    </row>
    <row r="19" spans="1:27" x14ac:dyDescent="0.15">
      <c r="A19">
        <v>2013</v>
      </c>
      <c r="B19" t="s">
        <v>26</v>
      </c>
      <c r="F19">
        <v>2015</v>
      </c>
      <c r="G19" t="s">
        <v>26</v>
      </c>
      <c r="K19">
        <v>2017</v>
      </c>
      <c r="L19" t="s">
        <v>26</v>
      </c>
      <c r="M19">
        <v>1226</v>
      </c>
      <c r="N19">
        <v>536</v>
      </c>
      <c r="P19">
        <v>2019</v>
      </c>
      <c r="Q19" t="s">
        <v>26</v>
      </c>
      <c r="U19" t="s">
        <v>26</v>
      </c>
      <c r="V19">
        <f t="shared" si="0"/>
        <v>1226</v>
      </c>
      <c r="W19" s="13">
        <f t="shared" si="0"/>
        <v>536</v>
      </c>
      <c r="X19" s="15">
        <f>SUM(Table7356[[#This Row],[MILES6]]/Y43)</f>
        <v>176.8845272182929</v>
      </c>
      <c r="Y19" s="19">
        <f>SUM(Table7356[[#This Row],[Tax Paid Fuel (Gallons)]]-Table7356[[#This Row],[Taxable Fuel (Gallons)]])</f>
        <v>359.11547278170713</v>
      </c>
      <c r="Z19" s="12">
        <v>0.23400000000000001</v>
      </c>
      <c r="AA19" s="14">
        <f>SUM(Table7356[[#This Row],[Net Taxable Fuel (Gallons)]]*Table7356[[#This Row],[Tax Rate]])</f>
        <v>84.033020630919466</v>
      </c>
    </row>
    <row r="20" spans="1:27" x14ac:dyDescent="0.15">
      <c r="A20">
        <v>2013</v>
      </c>
      <c r="B20" t="s">
        <v>54</v>
      </c>
      <c r="F20">
        <v>2015</v>
      </c>
      <c r="G20" t="s">
        <v>54</v>
      </c>
      <c r="K20">
        <v>2017</v>
      </c>
      <c r="L20" t="s">
        <v>54</v>
      </c>
      <c r="P20">
        <v>2019</v>
      </c>
      <c r="Q20" t="s">
        <v>54</v>
      </c>
      <c r="U20" t="s">
        <v>54</v>
      </c>
      <c r="V20">
        <f t="shared" si="0"/>
        <v>0</v>
      </c>
      <c r="W20" s="13">
        <f t="shared" si="0"/>
        <v>0</v>
      </c>
      <c r="X20" s="15">
        <f>SUM(Table7356[[#This Row],[MILES6]]/Y43)</f>
        <v>0</v>
      </c>
      <c r="Y20" s="19">
        <f>SUM(Table7356[[#This Row],[Tax Paid Fuel (Gallons)]]-Table7356[[#This Row],[Taxable Fuel (Gallons)]])</f>
        <v>0</v>
      </c>
      <c r="Z20" s="12">
        <v>0.2</v>
      </c>
      <c r="AA20" s="14">
        <f>SUM(Table7356[[#This Row],[Net Taxable Fuel (Gallons)]]*Table7356[[#This Row],[Tax Rate]])</f>
        <v>0</v>
      </c>
    </row>
    <row r="21" spans="1:27" x14ac:dyDescent="0.15">
      <c r="A21">
        <v>2013</v>
      </c>
      <c r="B21" t="s">
        <v>55</v>
      </c>
      <c r="C21">
        <v>256</v>
      </c>
      <c r="F21">
        <v>2015</v>
      </c>
      <c r="G21" t="s">
        <v>55</v>
      </c>
      <c r="K21">
        <v>2017</v>
      </c>
      <c r="L21" t="s">
        <v>55</v>
      </c>
      <c r="M21">
        <v>340</v>
      </c>
      <c r="P21">
        <v>2019</v>
      </c>
      <c r="Q21" t="s">
        <v>55</v>
      </c>
      <c r="U21" t="s">
        <v>55</v>
      </c>
      <c r="V21">
        <f t="shared" si="0"/>
        <v>596</v>
      </c>
      <c r="W21" s="13">
        <f t="shared" si="0"/>
        <v>0</v>
      </c>
      <c r="X21" s="15">
        <f>SUM(Table7356[[#This Row],[MILES6]]/Y43)</f>
        <v>85.989541779855287</v>
      </c>
      <c r="Y21" s="19">
        <f>SUM(Table7356[[#This Row],[Tax Paid Fuel (Gallons)]]-Table7356[[#This Row],[Taxable Fuel (Gallons)]])</f>
        <v>-85.989541779855287</v>
      </c>
      <c r="Z21" s="12">
        <v>0.318</v>
      </c>
      <c r="AA21" s="14">
        <f>SUM(Table7356[[#This Row],[Net Taxable Fuel (Gallons)]]*Table7356[[#This Row],[Tax Rate]])</f>
        <v>-27.344674285993982</v>
      </c>
    </row>
    <row r="22" spans="1:27" x14ac:dyDescent="0.15">
      <c r="A22">
        <v>2013</v>
      </c>
      <c r="B22" s="7" t="s">
        <v>28</v>
      </c>
      <c r="F22">
        <v>2015</v>
      </c>
      <c r="G22" s="7" t="s">
        <v>28</v>
      </c>
      <c r="K22">
        <v>2017</v>
      </c>
      <c r="L22" s="7" t="s">
        <v>28</v>
      </c>
      <c r="M22">
        <v>103</v>
      </c>
      <c r="P22">
        <v>2019</v>
      </c>
      <c r="Q22" s="7" t="s">
        <v>28</v>
      </c>
      <c r="U22" s="7" t="s">
        <v>28</v>
      </c>
      <c r="V22">
        <f t="shared" si="0"/>
        <v>103</v>
      </c>
      <c r="W22" s="13">
        <f t="shared" si="0"/>
        <v>0</v>
      </c>
      <c r="X22" s="15">
        <f>SUM(Table7356[[#This Row],[MILES6]]/Y43)</f>
        <v>14.860608730411231</v>
      </c>
      <c r="Y22" s="19">
        <f>SUM(Table7356[[#This Row],[Tax Paid Fuel (Gallons)]]-Table7356[[#This Row],[Taxable Fuel (Gallons)]])</f>
        <v>-14.860608730411231</v>
      </c>
      <c r="Z22" s="12">
        <v>0.18</v>
      </c>
      <c r="AA22" s="14">
        <f>SUM(Table7356[[#This Row],[Net Taxable Fuel (Gallons)]]*Table7356[[#This Row],[Tax Rate]])</f>
        <v>-2.6749095714740214</v>
      </c>
    </row>
    <row r="23" spans="1:27" x14ac:dyDescent="0.15">
      <c r="A23">
        <v>2013</v>
      </c>
      <c r="B23" t="s">
        <v>27</v>
      </c>
      <c r="F23">
        <v>2015</v>
      </c>
      <c r="G23" t="s">
        <v>27</v>
      </c>
      <c r="H23">
        <v>287</v>
      </c>
      <c r="K23">
        <v>2017</v>
      </c>
      <c r="L23" t="s">
        <v>27</v>
      </c>
      <c r="M23">
        <v>749</v>
      </c>
      <c r="P23">
        <v>2019</v>
      </c>
      <c r="Q23" t="s">
        <v>27</v>
      </c>
      <c r="U23" t="s">
        <v>27</v>
      </c>
      <c r="V23">
        <f t="shared" si="0"/>
        <v>1036</v>
      </c>
      <c r="W23" s="13">
        <f t="shared" si="0"/>
        <v>0</v>
      </c>
      <c r="X23" s="15">
        <f>SUM(Table7356[[#This Row],[MILES6]]/Y43)</f>
        <v>149.47175383209742</v>
      </c>
      <c r="Y23" s="19">
        <f>SUM(Table7356[[#This Row],[Tax Paid Fuel (Gallons)]]-X23)</f>
        <v>-149.47175383209742</v>
      </c>
      <c r="Z23" s="12">
        <v>0.27</v>
      </c>
      <c r="AA23" s="14">
        <f>SUM(Table7356[[#This Row],[Net Taxable Fuel (Gallons)]]*Table7356[[#This Row],[Tax Rate]])</f>
        <v>-40.357373534666309</v>
      </c>
    </row>
    <row r="24" spans="1:27" x14ac:dyDescent="0.15">
      <c r="A24">
        <v>2013</v>
      </c>
      <c r="B24" t="s">
        <v>4</v>
      </c>
      <c r="C24">
        <v>506</v>
      </c>
      <c r="F24">
        <v>2015</v>
      </c>
      <c r="G24" t="s">
        <v>4</v>
      </c>
      <c r="K24">
        <v>2017</v>
      </c>
      <c r="L24" t="s">
        <v>4</v>
      </c>
      <c r="P24">
        <v>2019</v>
      </c>
      <c r="Q24" t="s">
        <v>4</v>
      </c>
      <c r="U24" t="s">
        <v>4</v>
      </c>
      <c r="V24">
        <f t="shared" si="0"/>
        <v>506</v>
      </c>
      <c r="W24" s="13">
        <f t="shared" si="0"/>
        <v>0</v>
      </c>
      <c r="X24" s="15">
        <f>SUM(Table7356[[#This Row],[MILES6]]/Y43)</f>
        <v>73.004543860078471</v>
      </c>
      <c r="Y24" s="19">
        <f>SUM(Table7356[[#This Row],[Tax Paid Fuel (Gallons)]]-Table7356[[#This Row],[Taxable Fuel (Gallons)]])</f>
        <v>-73.004543860078471</v>
      </c>
      <c r="Z24" s="12">
        <v>0.29749999999999999</v>
      </c>
      <c r="AA24" s="14">
        <f>SUM(Table7356[[#This Row],[Net Taxable Fuel (Gallons)]]*Table7356[[#This Row],[Tax Rate]])</f>
        <v>-21.718851798373343</v>
      </c>
    </row>
    <row r="25" spans="1:27" x14ac:dyDescent="0.15">
      <c r="A25">
        <v>2013</v>
      </c>
      <c r="B25" t="s">
        <v>33</v>
      </c>
      <c r="F25">
        <v>2015</v>
      </c>
      <c r="G25" t="s">
        <v>33</v>
      </c>
      <c r="K25">
        <v>2017</v>
      </c>
      <c r="L25" t="s">
        <v>33</v>
      </c>
      <c r="P25">
        <v>2019</v>
      </c>
      <c r="Q25" t="s">
        <v>33</v>
      </c>
      <c r="U25" t="s">
        <v>33</v>
      </c>
      <c r="V25">
        <f t="shared" si="0"/>
        <v>0</v>
      </c>
      <c r="W25" s="13">
        <f t="shared" si="0"/>
        <v>0</v>
      </c>
      <c r="X25" s="15">
        <f>SUM(Table7356[[#This Row],[MILES6]]/Y43)</f>
        <v>0</v>
      </c>
      <c r="Y25" s="19">
        <f>SUM(Table7356[[#This Row],[Tax Paid Fuel (Gallons)]]-X25)</f>
        <v>0</v>
      </c>
      <c r="Z25" s="12">
        <v>0.40300000000000002</v>
      </c>
      <c r="AA25" s="14">
        <f>SUM(Table7356[[#This Row],[Net Taxable Fuel (Gallons)]]*Table7356[[#This Row],[Tax Rate]])</f>
        <v>0</v>
      </c>
    </row>
    <row r="26" spans="1:27" x14ac:dyDescent="0.15">
      <c r="A26">
        <v>2013</v>
      </c>
      <c r="B26" t="s">
        <v>13</v>
      </c>
      <c r="C26">
        <v>639</v>
      </c>
      <c r="F26">
        <v>2015</v>
      </c>
      <c r="G26" t="s">
        <v>13</v>
      </c>
      <c r="K26">
        <v>2017</v>
      </c>
      <c r="L26" t="s">
        <v>13</v>
      </c>
      <c r="M26">
        <v>476</v>
      </c>
      <c r="N26">
        <v>148</v>
      </c>
      <c r="P26">
        <v>2019</v>
      </c>
      <c r="Q26" t="s">
        <v>13</v>
      </c>
      <c r="U26" t="s">
        <v>13</v>
      </c>
      <c r="V26">
        <f t="shared" si="0"/>
        <v>1115</v>
      </c>
      <c r="W26" s="13">
        <f t="shared" si="0"/>
        <v>148</v>
      </c>
      <c r="X26" s="15">
        <f>SUM(Table7356[[#This Row],[MILES6]]/Y43)</f>
        <v>160.86969645056817</v>
      </c>
      <c r="Y26" s="19">
        <f>SUM(Table7356[[#This Row],[Tax Paid Fuel (Gallons)]]-Table7356[[#This Row],[Taxable Fuel (Gallons)]])</f>
        <v>-12.869696450568171</v>
      </c>
      <c r="Z26" s="12">
        <v>0.30399999999999999</v>
      </c>
      <c r="AA26" s="14">
        <f>SUM(Table7356[[#This Row],[Net Taxable Fuel (Gallons)]]*Table7356[[#This Row],[Tax Rate]])</f>
        <v>-3.9123877209727236</v>
      </c>
    </row>
    <row r="27" spans="1:27" x14ac:dyDescent="0.15">
      <c r="A27">
        <v>2013</v>
      </c>
      <c r="B27" t="s">
        <v>14</v>
      </c>
      <c r="C27">
        <v>1815</v>
      </c>
      <c r="D27">
        <v>282</v>
      </c>
      <c r="F27">
        <v>2015</v>
      </c>
      <c r="G27" t="s">
        <v>14</v>
      </c>
      <c r="H27">
        <v>3229</v>
      </c>
      <c r="K27">
        <v>2017</v>
      </c>
      <c r="L27" t="s">
        <v>14</v>
      </c>
      <c r="M27">
        <v>2637</v>
      </c>
      <c r="N27">
        <v>311</v>
      </c>
      <c r="P27">
        <v>2019</v>
      </c>
      <c r="Q27" t="s">
        <v>14</v>
      </c>
      <c r="R27">
        <v>1286</v>
      </c>
      <c r="S27">
        <v>136</v>
      </c>
      <c r="U27" t="s">
        <v>14</v>
      </c>
      <c r="V27">
        <f t="shared" si="0"/>
        <v>8967</v>
      </c>
      <c r="W27" s="13">
        <f t="shared" si="0"/>
        <v>729</v>
      </c>
      <c r="X27" s="15">
        <f>SUM(Table7356[[#This Row],[MILES6]]/Y43)</f>
        <v>1293.7386260737621</v>
      </c>
      <c r="Y27" s="19">
        <f>SUM(Table7356[[#This Row],[Tax Paid Fuel (Gallons)]]-Table7356[[#This Row],[Taxable Fuel (Gallons)]])</f>
        <v>-564.73862607376213</v>
      </c>
      <c r="Z27" s="12">
        <v>0.21</v>
      </c>
      <c r="AA27" s="14">
        <f>SUM(Table7356[[#This Row],[Net Taxable Fuel (Gallons)]]*Table7356[[#This Row],[Tax Rate]])</f>
        <v>-118.59511147549004</v>
      </c>
    </row>
    <row r="28" spans="1:27" x14ac:dyDescent="0.15">
      <c r="A28">
        <v>2013</v>
      </c>
      <c r="B28" t="s">
        <v>12</v>
      </c>
      <c r="C28">
        <v>535</v>
      </c>
      <c r="D28">
        <v>231</v>
      </c>
      <c r="F28">
        <v>2015</v>
      </c>
      <c r="G28" t="s">
        <v>12</v>
      </c>
      <c r="K28">
        <v>2017</v>
      </c>
      <c r="L28" t="s">
        <v>12</v>
      </c>
      <c r="P28">
        <v>2019</v>
      </c>
      <c r="Q28" t="s">
        <v>12</v>
      </c>
      <c r="U28" t="s">
        <v>12</v>
      </c>
      <c r="V28">
        <f t="shared" si="0"/>
        <v>535</v>
      </c>
      <c r="W28" s="13">
        <f t="shared" si="0"/>
        <v>231</v>
      </c>
      <c r="X28" s="15">
        <f>SUM(Table7356[[#This Row],[MILES6]]/Y43)</f>
        <v>77.188598745339888</v>
      </c>
      <c r="Y28" s="19">
        <f>SUM(Table7356[[#This Row],[Tax Paid Fuel (Gallons)]]-Table7356[[#This Row],[Taxable Fuel (Gallons)]])</f>
        <v>153.8114012546601</v>
      </c>
      <c r="Z28" s="12">
        <v>0.23</v>
      </c>
      <c r="AA28" s="14">
        <f>SUM(Table7356[[#This Row],[Net Taxable Fuel (Gallons)]]*Table7356[[#This Row],[Tax Rate]])</f>
        <v>35.376622288571824</v>
      </c>
    </row>
    <row r="29" spans="1:27" x14ac:dyDescent="0.15">
      <c r="A29">
        <v>2013</v>
      </c>
      <c r="B29" t="s">
        <v>5</v>
      </c>
      <c r="C29">
        <v>4175</v>
      </c>
      <c r="D29">
        <v>1197</v>
      </c>
      <c r="F29">
        <v>2015</v>
      </c>
      <c r="G29" t="s">
        <v>5</v>
      </c>
      <c r="H29">
        <v>1839</v>
      </c>
      <c r="I29">
        <v>1037</v>
      </c>
      <c r="K29">
        <v>2017</v>
      </c>
      <c r="L29" t="s">
        <v>5</v>
      </c>
      <c r="M29">
        <v>3176</v>
      </c>
      <c r="N29">
        <v>295</v>
      </c>
      <c r="P29">
        <v>2019</v>
      </c>
      <c r="Q29" t="s">
        <v>5</v>
      </c>
      <c r="R29">
        <v>6685</v>
      </c>
      <c r="S29">
        <v>827</v>
      </c>
      <c r="U29" t="s">
        <v>5</v>
      </c>
      <c r="V29">
        <f t="shared" si="0"/>
        <v>15875</v>
      </c>
      <c r="W29" s="13">
        <f t="shared" si="0"/>
        <v>3356</v>
      </c>
      <c r="X29" s="15">
        <f>SUM(Table7356[[#This Row],[MILES6]]/Y43)</f>
        <v>2290.4093552939639</v>
      </c>
      <c r="Y29" s="19">
        <f>SUM(Table7356[[#This Row],[Tax Paid Fuel (Gallons)]]-Table7356[[#This Row],[Taxable Fuel (Gallons)]])</f>
        <v>1065.5906447060361</v>
      </c>
      <c r="Z29" s="12">
        <v>0.27</v>
      </c>
      <c r="AA29" s="14">
        <f>SUM(Table7356[[#This Row],[Net Taxable Fuel (Gallons)]]*Table7356[[#This Row],[Tax Rate]])</f>
        <v>287.70947407062977</v>
      </c>
    </row>
    <row r="30" spans="1:27" x14ac:dyDescent="0.15">
      <c r="A30">
        <v>2013</v>
      </c>
      <c r="B30" t="s">
        <v>29</v>
      </c>
      <c r="F30">
        <v>2015</v>
      </c>
      <c r="G30" t="s">
        <v>29</v>
      </c>
      <c r="K30">
        <v>2017</v>
      </c>
      <c r="L30" t="s">
        <v>29</v>
      </c>
      <c r="M30">
        <v>346</v>
      </c>
      <c r="P30">
        <v>2019</v>
      </c>
      <c r="Q30" t="s">
        <v>29</v>
      </c>
      <c r="U30" t="s">
        <v>29</v>
      </c>
      <c r="V30">
        <f t="shared" si="0"/>
        <v>346</v>
      </c>
      <c r="W30" s="13">
        <f t="shared" si="0"/>
        <v>0</v>
      </c>
      <c r="X30" s="15">
        <f>SUM(Table7356[[#This Row],[MILES6]]/Y43)</f>
        <v>49.920103113808601</v>
      </c>
      <c r="Y30" s="19">
        <f>SUM(Table7356[[#This Row],[Tax Paid Fuel (Gallons)]]-Table7356[[#This Row],[Taxable Fuel (Gallons)]])</f>
        <v>-49.920103113808601</v>
      </c>
      <c r="Z30" s="12">
        <v>0.47</v>
      </c>
      <c r="AA30" s="14">
        <f>SUM(Table7356[[#This Row],[Net Taxable Fuel (Gallons)]]*Table7356[[#This Row],[Tax Rate]])</f>
        <v>-23.462448463490041</v>
      </c>
    </row>
    <row r="31" spans="1:27" x14ac:dyDescent="0.15">
      <c r="A31">
        <v>2013</v>
      </c>
      <c r="B31" t="s">
        <v>15</v>
      </c>
      <c r="C31">
        <v>899</v>
      </c>
      <c r="D31">
        <v>138</v>
      </c>
      <c r="F31">
        <v>2015</v>
      </c>
      <c r="G31" t="s">
        <v>15</v>
      </c>
      <c r="H31">
        <v>1072</v>
      </c>
      <c r="I31">
        <v>183</v>
      </c>
      <c r="K31">
        <v>2017</v>
      </c>
      <c r="L31" t="s">
        <v>15</v>
      </c>
      <c r="M31">
        <v>1884</v>
      </c>
      <c r="N31">
        <v>585</v>
      </c>
      <c r="P31">
        <v>2019</v>
      </c>
      <c r="Q31" t="s">
        <v>15</v>
      </c>
      <c r="R31">
        <v>310</v>
      </c>
      <c r="U31" t="s">
        <v>15</v>
      </c>
      <c r="V31">
        <f t="shared" si="0"/>
        <v>4165</v>
      </c>
      <c r="W31" s="13">
        <f t="shared" si="0"/>
        <v>906</v>
      </c>
      <c r="X31" s="15">
        <f>SUM(Table7356[[#This Row],[MILES6]]/Y43)</f>
        <v>600.91684817633768</v>
      </c>
      <c r="Y31" s="19">
        <f>SUM(Table7356[[#This Row],[Tax Paid Fuel (Gallons)]]-Table7356[[#This Row],[Taxable Fuel (Gallons)]])</f>
        <v>305.08315182366232</v>
      </c>
      <c r="Z31" s="12">
        <v>0.19</v>
      </c>
      <c r="AA31" s="14">
        <f>SUM(Table7356[[#This Row],[Net Taxable Fuel (Gallons)]]*Table7356[[#This Row],[Tax Rate]])</f>
        <v>57.965798846495844</v>
      </c>
    </row>
    <row r="32" spans="1:27" x14ac:dyDescent="0.15">
      <c r="A32">
        <v>2013</v>
      </c>
      <c r="B32" t="s">
        <v>6</v>
      </c>
      <c r="C32">
        <v>1147</v>
      </c>
      <c r="D32">
        <v>450</v>
      </c>
      <c r="F32">
        <v>2015</v>
      </c>
      <c r="G32" t="s">
        <v>6</v>
      </c>
      <c r="H32">
        <v>1291</v>
      </c>
      <c r="I32">
        <v>396</v>
      </c>
      <c r="K32">
        <v>2017</v>
      </c>
      <c r="L32" t="s">
        <v>6</v>
      </c>
      <c r="P32">
        <v>2019</v>
      </c>
      <c r="Q32" t="s">
        <v>6</v>
      </c>
      <c r="R32">
        <v>1238</v>
      </c>
      <c r="S32">
        <v>475</v>
      </c>
      <c r="U32" t="s">
        <v>6</v>
      </c>
      <c r="V32">
        <f t="shared" si="0"/>
        <v>3676</v>
      </c>
      <c r="W32" s="13">
        <f t="shared" si="0"/>
        <v>1321</v>
      </c>
      <c r="X32" s="15">
        <f>SUM(Table7356[[#This Row],[MILES6]]/Y43)</f>
        <v>530.36502614555036</v>
      </c>
      <c r="Y32" s="19">
        <f>SUM(Table7356[[#This Row],[Tax Paid Fuel (Gallons)]]-Table7356[[#This Row],[Taxable Fuel (Gallons)]])</f>
        <v>790.63497385444964</v>
      </c>
      <c r="Z32" s="12">
        <v>0</v>
      </c>
      <c r="AA32" s="14">
        <f>SUM(Table7356[[#This Row],[Net Taxable Fuel (Gallons)]]*Table7356[[#This Row],[Tax Rate]])</f>
        <v>0</v>
      </c>
    </row>
    <row r="33" spans="1:27" x14ac:dyDescent="0.15">
      <c r="A33">
        <v>2013</v>
      </c>
      <c r="B33" t="s">
        <v>34</v>
      </c>
      <c r="F33">
        <v>2015</v>
      </c>
      <c r="G33" t="s">
        <v>34</v>
      </c>
      <c r="K33">
        <v>2017</v>
      </c>
      <c r="L33" t="s">
        <v>34</v>
      </c>
      <c r="P33">
        <v>2019</v>
      </c>
      <c r="Q33" t="s">
        <v>34</v>
      </c>
      <c r="U33" t="s">
        <v>34</v>
      </c>
      <c r="V33">
        <f t="shared" si="0"/>
        <v>0</v>
      </c>
      <c r="W33" s="13">
        <f t="shared" si="0"/>
        <v>0</v>
      </c>
      <c r="X33" s="15">
        <f>SUM(Table7356[[#This Row],[MILES6]]/Y43)</f>
        <v>0</v>
      </c>
      <c r="Y33" s="19">
        <f>SUM(Table7356[[#This Row],[Tax Paid Fuel (Gallons)]]-Table7356[[#This Row],[Taxable Fuel (Gallons)]])</f>
        <v>0</v>
      </c>
      <c r="Z33" s="12">
        <v>0.28000000000000003</v>
      </c>
      <c r="AA33" s="14">
        <f>SUM(Table7356[[#This Row],[Net Taxable Fuel (Gallons)]]*Table7356[[#This Row],[Tax Rate]])</f>
        <v>0</v>
      </c>
    </row>
    <row r="34" spans="1:27" x14ac:dyDescent="0.15">
      <c r="A34">
        <v>2013</v>
      </c>
      <c r="B34" t="s">
        <v>16</v>
      </c>
      <c r="F34">
        <v>2015</v>
      </c>
      <c r="G34" t="s">
        <v>16</v>
      </c>
      <c r="K34">
        <v>2017</v>
      </c>
      <c r="L34" t="s">
        <v>16</v>
      </c>
      <c r="P34">
        <v>2019</v>
      </c>
      <c r="Q34" t="s">
        <v>16</v>
      </c>
      <c r="U34" t="s">
        <v>16</v>
      </c>
      <c r="V34">
        <f t="shared" si="0"/>
        <v>0</v>
      </c>
      <c r="W34" s="13">
        <f t="shared" si="0"/>
        <v>0</v>
      </c>
      <c r="X34" s="15">
        <f>SUM(Table7356[[#This Row],[MILES6]]/Y43)</f>
        <v>0</v>
      </c>
      <c r="Y34" s="19">
        <f>SUM(Table7356[[#This Row],[Tax Paid Fuel (Gallons)]]-Table7356[[#This Row],[Taxable Fuel (Gallons)]])</f>
        <v>0</v>
      </c>
      <c r="Z34" s="12">
        <v>0.28000000000000003</v>
      </c>
      <c r="AA34" s="14">
        <f>SUM(Table7356[[#This Row],[Net Taxable Fuel (Gallons)]]*Table7356[[#This Row],[Tax Rate]])</f>
        <v>0</v>
      </c>
    </row>
    <row r="35" spans="1:27" x14ac:dyDescent="0.15">
      <c r="A35">
        <v>2013</v>
      </c>
      <c r="B35" t="s">
        <v>30</v>
      </c>
      <c r="F35">
        <v>2015</v>
      </c>
      <c r="G35" t="s">
        <v>30</v>
      </c>
      <c r="K35">
        <v>2017</v>
      </c>
      <c r="L35" t="s">
        <v>30</v>
      </c>
      <c r="M35">
        <v>1201</v>
      </c>
      <c r="N35">
        <v>116</v>
      </c>
      <c r="P35">
        <v>2019</v>
      </c>
      <c r="Q35" t="s">
        <v>30</v>
      </c>
      <c r="U35" t="s">
        <v>30</v>
      </c>
      <c r="V35">
        <f t="shared" si="0"/>
        <v>1201</v>
      </c>
      <c r="W35" s="13">
        <f t="shared" si="0"/>
        <v>116</v>
      </c>
      <c r="X35" s="15">
        <f>SUM(Table7356[[#This Row],[MILES6]]/Y43)</f>
        <v>173.27758335168824</v>
      </c>
      <c r="Y35" s="19">
        <f>SUM(Table7356[[#This Row],[Tax Paid Fuel (Gallons)]]-Table7356[[#This Row],[Taxable Fuel (Gallons)]])</f>
        <v>-57.277583351688236</v>
      </c>
      <c r="Z35" s="12">
        <v>0.27</v>
      </c>
      <c r="AA35" s="14">
        <f>SUM(Table7356[[#This Row],[Net Taxable Fuel (Gallons)]]*Table7356[[#This Row],[Tax Rate]])</f>
        <v>-15.464947504955825</v>
      </c>
    </row>
    <row r="36" spans="1:27" x14ac:dyDescent="0.15">
      <c r="A36">
        <v>2013</v>
      </c>
      <c r="B36" t="s">
        <v>17</v>
      </c>
      <c r="C36">
        <v>2131</v>
      </c>
      <c r="D36">
        <v>582</v>
      </c>
      <c r="F36">
        <v>2015</v>
      </c>
      <c r="G36" t="s">
        <v>17</v>
      </c>
      <c r="H36">
        <v>3099</v>
      </c>
      <c r="I36">
        <v>1544</v>
      </c>
      <c r="K36">
        <v>2017</v>
      </c>
      <c r="L36" t="s">
        <v>17</v>
      </c>
      <c r="M36">
        <v>2312</v>
      </c>
      <c r="N36">
        <v>475</v>
      </c>
      <c r="P36">
        <v>2019</v>
      </c>
      <c r="Q36" t="s">
        <v>17</v>
      </c>
      <c r="R36">
        <v>1456</v>
      </c>
      <c r="S36">
        <v>461</v>
      </c>
      <c r="U36" t="s">
        <v>17</v>
      </c>
      <c r="V36">
        <f t="shared" si="0"/>
        <v>8998</v>
      </c>
      <c r="W36" s="13">
        <f t="shared" si="0"/>
        <v>3062</v>
      </c>
      <c r="X36" s="15">
        <f>SUM(Table7356[[#This Row],[MILES6]]/Y43)</f>
        <v>1298.2112364683521</v>
      </c>
      <c r="Y36" s="19">
        <f>SUM(Table7356[[#This Row],[Tax Paid Fuel (Gallons)]]-Table7356[[#This Row],[Taxable Fuel (Gallons)]])</f>
        <v>1763.7887635316479</v>
      </c>
      <c r="Z36" s="12">
        <v>0.2</v>
      </c>
      <c r="AA36" s="14">
        <f>SUM(Table7356[[#This Row],[Net Taxable Fuel (Gallons)]]*Table7356[[#This Row],[Tax Rate]])</f>
        <v>352.7577527063296</v>
      </c>
    </row>
    <row r="37" spans="1:27" x14ac:dyDescent="0.15">
      <c r="A37">
        <v>2013</v>
      </c>
      <c r="B37" t="s">
        <v>7</v>
      </c>
      <c r="C37">
        <v>556</v>
      </c>
      <c r="F37">
        <v>2015</v>
      </c>
      <c r="G37" t="s">
        <v>7</v>
      </c>
      <c r="H37">
        <v>631</v>
      </c>
      <c r="I37">
        <v>113</v>
      </c>
      <c r="K37">
        <v>2017</v>
      </c>
      <c r="L37" t="s">
        <v>7</v>
      </c>
      <c r="M37">
        <v>396</v>
      </c>
      <c r="P37">
        <v>2019</v>
      </c>
      <c r="Q37" t="s">
        <v>7</v>
      </c>
      <c r="U37" t="s">
        <v>7</v>
      </c>
      <c r="V37">
        <f t="shared" si="0"/>
        <v>1583</v>
      </c>
      <c r="W37" s="13">
        <f t="shared" si="0"/>
        <v>113</v>
      </c>
      <c r="X37" s="15">
        <f>SUM(Table7356[[#This Row],[MILES6]]/Y43)</f>
        <v>228.39168563340758</v>
      </c>
      <c r="Y37" s="19">
        <f>SUM(Table7356[[#This Row],[Tax Paid Fuel (Gallons)]]-Table7356[[#This Row],[Taxable Fuel (Gallons)]])</f>
        <v>-115.39168563340758</v>
      </c>
      <c r="Z37" s="12">
        <v>0.38500000000000001</v>
      </c>
      <c r="AA37" s="14">
        <f>SUM(Table7356[[#This Row],[Net Taxable Fuel (Gallons)]]*Table7356[[#This Row],[Tax Rate]])</f>
        <v>-44.425798968861919</v>
      </c>
    </row>
    <row r="38" spans="1:27" x14ac:dyDescent="0.15">
      <c r="A38">
        <v>2013</v>
      </c>
      <c r="B38" t="s">
        <v>56</v>
      </c>
      <c r="F38">
        <v>2015</v>
      </c>
      <c r="G38" t="s">
        <v>56</v>
      </c>
      <c r="K38">
        <v>2017</v>
      </c>
      <c r="L38" t="s">
        <v>56</v>
      </c>
      <c r="M38">
        <v>507</v>
      </c>
      <c r="P38">
        <v>2019</v>
      </c>
      <c r="Q38" t="s">
        <v>56</v>
      </c>
      <c r="U38" t="s">
        <v>56</v>
      </c>
      <c r="V38">
        <f t="shared" si="0"/>
        <v>507</v>
      </c>
      <c r="W38" s="13">
        <f t="shared" si="0"/>
        <v>0</v>
      </c>
      <c r="X38" s="15">
        <f>SUM(Table7356[[#This Row],[MILES6]]/Y43)</f>
        <v>73.148821614742658</v>
      </c>
      <c r="Y38" s="19">
        <f>SUM(Table7356[[#This Row],[Tax Paid Fuel (Gallons)]]-Table7356[[#This Row],[Taxable Fuel (Gallons)]])</f>
        <v>-73.148821614742658</v>
      </c>
      <c r="Z38" s="12">
        <v>0.318</v>
      </c>
      <c r="AA38" s="14">
        <f>SUM(Table7356[[#This Row],[Net Taxable Fuel (Gallons)]]*Table7356[[#This Row],[Tax Rate]])</f>
        <v>-23.261325273488165</v>
      </c>
    </row>
    <row r="39" spans="1:27" x14ac:dyDescent="0.15">
      <c r="A39">
        <v>2013</v>
      </c>
      <c r="B39" t="s">
        <v>8</v>
      </c>
      <c r="C39">
        <v>434</v>
      </c>
      <c r="F39">
        <v>2015</v>
      </c>
      <c r="G39" t="s">
        <v>8</v>
      </c>
      <c r="H39">
        <v>723</v>
      </c>
      <c r="K39">
        <v>2017</v>
      </c>
      <c r="L39" t="s">
        <v>8</v>
      </c>
      <c r="P39">
        <v>2019</v>
      </c>
      <c r="Q39" t="s">
        <v>8</v>
      </c>
      <c r="R39">
        <v>642</v>
      </c>
      <c r="U39" t="s">
        <v>8</v>
      </c>
      <c r="V39">
        <f t="shared" si="0"/>
        <v>1799</v>
      </c>
      <c r="W39" s="13">
        <f t="shared" si="0"/>
        <v>0</v>
      </c>
      <c r="X39" s="15">
        <f>SUM(Table7356[[#This Row],[MILES6]]/Y43)</f>
        <v>259.55568064087191</v>
      </c>
      <c r="Y39" s="19">
        <f>SUM(Table7356[[#This Row],[Tax Paid Fuel (Gallons)]]-Table7356[[#This Row],[Taxable Fuel (Gallons)]])</f>
        <v>-259.55568064087191</v>
      </c>
      <c r="Z39" s="12">
        <v>0.495</v>
      </c>
      <c r="AA39" s="14">
        <f>SUM(Table7356[[#This Row],[Net Taxable Fuel (Gallons)]]*Table7356[[#This Row],[Tax Rate]])</f>
        <v>-128.48006191723161</v>
      </c>
    </row>
    <row r="40" spans="1:27" x14ac:dyDescent="0.15">
      <c r="A40">
        <v>2013</v>
      </c>
      <c r="B40" t="s">
        <v>18</v>
      </c>
      <c r="C40">
        <v>759</v>
      </c>
      <c r="D40">
        <v>309</v>
      </c>
      <c r="F40">
        <v>2015</v>
      </c>
      <c r="G40" t="s">
        <v>18</v>
      </c>
      <c r="H40">
        <v>343</v>
      </c>
      <c r="I40">
        <v>172</v>
      </c>
      <c r="K40">
        <v>2017</v>
      </c>
      <c r="L40" t="s">
        <v>18</v>
      </c>
      <c r="M40">
        <v>783</v>
      </c>
      <c r="N40">
        <v>277</v>
      </c>
      <c r="P40">
        <v>2019</v>
      </c>
      <c r="Q40" t="s">
        <v>18</v>
      </c>
      <c r="U40" t="s">
        <v>18</v>
      </c>
      <c r="V40">
        <f t="shared" si="0"/>
        <v>1885</v>
      </c>
      <c r="W40" s="13">
        <f t="shared" si="0"/>
        <v>758</v>
      </c>
      <c r="X40" s="15">
        <f>SUM(Y77)</f>
        <v>0</v>
      </c>
      <c r="Y40" s="19">
        <f>SUM(Table7356[[#This Row],[Tax Paid Fuel (Gallons)]]-Table7356[[#This Row],[Taxable Fuel (Gallons)]])</f>
        <v>758</v>
      </c>
      <c r="Z40" s="12">
        <v>0.24</v>
      </c>
      <c r="AA40" s="14">
        <f>SUM(Table7356[[#This Row],[Net Taxable Fuel (Gallons)]]*Table7356[[#This Row],[Tax Rate]])</f>
        <v>181.92</v>
      </c>
    </row>
    <row r="41" spans="1:27" x14ac:dyDescent="0.15">
      <c r="A41">
        <v>2013</v>
      </c>
      <c r="B41" s="7" t="s">
        <v>58</v>
      </c>
      <c r="F41">
        <v>2015</v>
      </c>
      <c r="G41" s="7" t="s">
        <v>58</v>
      </c>
      <c r="K41">
        <v>2017</v>
      </c>
      <c r="L41" s="7" t="s">
        <v>58</v>
      </c>
      <c r="M41">
        <v>5</v>
      </c>
      <c r="P41">
        <v>2019</v>
      </c>
      <c r="Q41" s="7" t="s">
        <v>58</v>
      </c>
      <c r="U41" s="7" t="s">
        <v>58</v>
      </c>
      <c r="V41">
        <f t="shared" si="0"/>
        <v>5</v>
      </c>
      <c r="W41" s="13">
        <f t="shared" si="0"/>
        <v>0</v>
      </c>
      <c r="X41" s="15">
        <f>SUM(Table7356[[#This Row],[MILES6]]/Y43)</f>
        <v>0.72138877332093354</v>
      </c>
      <c r="Y41" s="19">
        <f>SUM(Table7356[[#This Row],[Tax Paid Fuel (Gallons)]]-Table7356[[#This Row],[Taxable Fuel (Gallons)]])</f>
        <v>-0.72138877332093354</v>
      </c>
      <c r="Z41" s="12">
        <v>0.32900000000000001</v>
      </c>
      <c r="AA41" s="14">
        <f>SUM(Table7356[[#This Row],[Net Taxable Fuel (Gallons)]]*Table7356[[#This Row],[Tax Rate]])</f>
        <v>-0.23733690642258715</v>
      </c>
    </row>
    <row r="42" spans="1:27" x14ac:dyDescent="0.15">
      <c r="A42">
        <v>2013</v>
      </c>
      <c r="B42" s="28" t="s">
        <v>104</v>
      </c>
      <c r="F42">
        <v>2015</v>
      </c>
      <c r="G42" s="28" t="s">
        <v>104</v>
      </c>
      <c r="K42">
        <v>2017</v>
      </c>
      <c r="L42" s="28" t="s">
        <v>104</v>
      </c>
      <c r="M42">
        <v>196</v>
      </c>
      <c r="P42">
        <v>2019</v>
      </c>
      <c r="Q42" s="28" t="s">
        <v>104</v>
      </c>
      <c r="U42" s="28" t="s">
        <v>104</v>
      </c>
      <c r="V42">
        <f>SUM(C42,H42,M42,R42)</f>
        <v>196</v>
      </c>
      <c r="W42" s="13">
        <f>SUM(D42,I42,N42,S42)</f>
        <v>0</v>
      </c>
      <c r="X42">
        <f>SUM(Y79)</f>
        <v>0</v>
      </c>
      <c r="Y42" s="19"/>
      <c r="AA42" s="14">
        <f>SUM(Table7356[[#This Row],[Net Taxable Fuel (Gallons)]]*Table7356[[#This Row],[Tax Rate]])</f>
        <v>0</v>
      </c>
    </row>
    <row r="43" spans="1:27" x14ac:dyDescent="0.15">
      <c r="A43">
        <v>2013</v>
      </c>
      <c r="B43" t="s">
        <v>9</v>
      </c>
      <c r="C43">
        <f>SUM(C7:C42)</f>
        <v>31584</v>
      </c>
      <c r="D43">
        <f>SUM(D7:D42)</f>
        <v>4774</v>
      </c>
      <c r="E43">
        <f>SUM(C43/D43)</f>
        <v>6.6158357771261</v>
      </c>
      <c r="F43">
        <v>2015</v>
      </c>
      <c r="G43" t="s">
        <v>9</v>
      </c>
      <c r="H43">
        <f>SUM(H7:H42)</f>
        <v>33061</v>
      </c>
      <c r="I43">
        <f>SUM(I7:I42)</f>
        <v>4640</v>
      </c>
      <c r="J43">
        <f>SUM(H43/I43)</f>
        <v>7.1252155172413794</v>
      </c>
      <c r="K43">
        <v>2017</v>
      </c>
      <c r="L43" t="s">
        <v>9</v>
      </c>
      <c r="M43">
        <f>SUM(M7:M42)</f>
        <v>29486</v>
      </c>
      <c r="N43">
        <f>SUM(N7:N42)</f>
        <v>4244</v>
      </c>
      <c r="O43">
        <f>SUM(M43/N43)</f>
        <v>6.9476908576814322</v>
      </c>
      <c r="P43">
        <v>2019</v>
      </c>
      <c r="Q43" t="s">
        <v>9</v>
      </c>
      <c r="R43">
        <f>SUM(R7:R42)</f>
        <v>28452</v>
      </c>
      <c r="S43">
        <f>SUM(S7:S42)</f>
        <v>4028</v>
      </c>
      <c r="T43">
        <f>SUM(R43/S43)</f>
        <v>7.0635551142005957</v>
      </c>
      <c r="U43" t="s">
        <v>9</v>
      </c>
      <c r="V43">
        <f t="shared" si="0"/>
        <v>122583</v>
      </c>
      <c r="W43" s="13">
        <f>SUM(W7:W41)</f>
        <v>17686</v>
      </c>
      <c r="X43" s="15">
        <f t="shared" ref="X43:X50" si="1">SUM(Y79)</f>
        <v>0</v>
      </c>
      <c r="Y43" s="17">
        <f>SUM(V43/W43)</f>
        <v>6.9310754268913266</v>
      </c>
      <c r="AA43" s="12">
        <f>SUM(Table7356[[#This Row],[Net Taxable Fuel (Gallons)]]*Table7356[[#This Row],[Tax Rate]])</f>
        <v>0</v>
      </c>
    </row>
    <row r="44" spans="1:27" x14ac:dyDescent="0.15">
      <c r="E44" t="s">
        <v>39</v>
      </c>
      <c r="J44" t="s">
        <v>39</v>
      </c>
      <c r="O44" t="s">
        <v>39</v>
      </c>
      <c r="T44" t="s">
        <v>39</v>
      </c>
      <c r="W44" s="13"/>
      <c r="X44">
        <f t="shared" si="1"/>
        <v>0</v>
      </c>
      <c r="Y44" s="13" t="s">
        <v>39</v>
      </c>
      <c r="AA44" s="12"/>
    </row>
    <row r="45" spans="1:27" ht="24" x14ac:dyDescent="0.15">
      <c r="A45" s="6"/>
      <c r="F45" s="29"/>
      <c r="J45" s="3" t="s">
        <v>57</v>
      </c>
      <c r="K45" s="30"/>
      <c r="P45" s="6"/>
      <c r="V45">
        <f t="shared" ref="V45:W50" si="2">SUM(C45,H45,M45,R45)</f>
        <v>0</v>
      </c>
      <c r="W45" s="13">
        <f t="shared" si="2"/>
        <v>0</v>
      </c>
      <c r="X45">
        <f t="shared" si="1"/>
        <v>0</v>
      </c>
      <c r="Y45" s="18">
        <f>SUM(Table7356[[#This Row],[2013]],Table7356[[#This Row],[2015]],Table7356[[#This Row],[2017]],Table7356[[#This Row],[2019]])</f>
        <v>0</v>
      </c>
      <c r="Z45" s="10"/>
      <c r="AA45" s="20"/>
    </row>
    <row r="46" spans="1:27" x14ac:dyDescent="0.15">
      <c r="A46" t="s">
        <v>105</v>
      </c>
      <c r="B46" s="6">
        <v>1114.95</v>
      </c>
      <c r="C46" s="6">
        <v>8.01</v>
      </c>
      <c r="D46" s="6"/>
      <c r="E46" s="6"/>
      <c r="F46" s="29" t="s">
        <v>105</v>
      </c>
      <c r="G46" s="6">
        <v>1336.91</v>
      </c>
      <c r="H46" s="6">
        <v>8.01</v>
      </c>
      <c r="I46" s="6"/>
      <c r="J46" s="6"/>
      <c r="K46" s="6" t="s">
        <v>105</v>
      </c>
      <c r="L46" s="6">
        <v>329.19</v>
      </c>
      <c r="M46" s="6">
        <v>8.01</v>
      </c>
      <c r="N46" s="6"/>
      <c r="O46" s="6"/>
      <c r="P46" s="6" t="s">
        <v>105</v>
      </c>
      <c r="Q46" s="6">
        <v>940.78</v>
      </c>
      <c r="R46" s="6">
        <v>8.01</v>
      </c>
      <c r="S46" s="6"/>
      <c r="T46" s="6"/>
      <c r="U46" s="6" t="s">
        <v>105</v>
      </c>
      <c r="V46" s="6">
        <f>SUM(B46:C46,G46:H46,L46:M46,Q46:R46)</f>
        <v>3753.8700000000008</v>
      </c>
      <c r="W46" s="13" t="e">
        <f>SUM(D46,I46,N46,V51S46)</f>
        <v>#NAME?</v>
      </c>
      <c r="X46">
        <f t="shared" si="1"/>
        <v>0</v>
      </c>
      <c r="Y46" s="13"/>
      <c r="AA46" s="14"/>
    </row>
    <row r="47" spans="1:27" x14ac:dyDescent="0.15">
      <c r="A47" s="5" t="s">
        <v>26</v>
      </c>
      <c r="B47" s="6"/>
      <c r="C47" s="6"/>
      <c r="D47" s="6"/>
      <c r="E47" s="6"/>
      <c r="F47" s="6" t="s">
        <v>26</v>
      </c>
      <c r="G47" s="6"/>
      <c r="H47" s="6"/>
      <c r="I47" s="6"/>
      <c r="J47" s="6"/>
      <c r="K47" s="6" t="s">
        <v>26</v>
      </c>
      <c r="L47" s="6">
        <v>37.94</v>
      </c>
      <c r="M47" s="6"/>
      <c r="N47" s="6"/>
      <c r="O47" s="6"/>
      <c r="P47" s="6" t="s">
        <v>26</v>
      </c>
      <c r="Q47" s="6"/>
      <c r="R47" s="6"/>
      <c r="S47" s="6"/>
      <c r="T47" s="6"/>
      <c r="U47" s="6"/>
      <c r="V47" s="6">
        <f>SUM(C47,H47,M47,R47)</f>
        <v>0</v>
      </c>
      <c r="W47" s="13">
        <f t="shared" si="2"/>
        <v>0</v>
      </c>
      <c r="X47">
        <f t="shared" si="1"/>
        <v>0</v>
      </c>
      <c r="Y47" s="13"/>
      <c r="AA47" s="14">
        <f>SUM(Table7356[[#This Row],[Net Taxable Fuel (Gallons)]]*Table7356[[#This Row],[Tax Rate]])</f>
        <v>0</v>
      </c>
    </row>
    <row r="48" spans="1:27" x14ac:dyDescent="0.15">
      <c r="A48" s="6" t="s">
        <v>14</v>
      </c>
      <c r="B48" s="6">
        <v>79.459999999999994</v>
      </c>
      <c r="C48" s="6">
        <v>10</v>
      </c>
      <c r="D48" s="6"/>
      <c r="E48" s="6"/>
      <c r="F48" s="31" t="s">
        <v>14</v>
      </c>
      <c r="G48" s="31">
        <v>141.37</v>
      </c>
      <c r="H48" s="6">
        <v>10</v>
      </c>
      <c r="I48" s="6"/>
      <c r="J48" s="6"/>
      <c r="K48" s="6" t="s">
        <v>14</v>
      </c>
      <c r="L48" s="6">
        <v>115.45</v>
      </c>
      <c r="M48" s="6">
        <v>10</v>
      </c>
      <c r="N48" s="6"/>
      <c r="O48" s="6"/>
      <c r="P48" s="6" t="s">
        <v>14</v>
      </c>
      <c r="Q48" s="6">
        <v>56.3</v>
      </c>
      <c r="R48" s="6">
        <v>10</v>
      </c>
      <c r="S48" s="6"/>
      <c r="T48" s="6"/>
      <c r="U48" s="6"/>
      <c r="V48" s="6">
        <f>SUM(B48,G48,L48,Q48)</f>
        <v>392.58</v>
      </c>
      <c r="W48" s="13">
        <f t="shared" si="2"/>
        <v>0</v>
      </c>
      <c r="X48">
        <f t="shared" si="1"/>
        <v>0</v>
      </c>
      <c r="Y48" s="13"/>
      <c r="AA48" s="14">
        <f>SUM(Table7356[[#This Row],[Net Taxable Fuel (Gallons)]]*Table7356[[#This Row],[Tax Rate]])</f>
        <v>0</v>
      </c>
    </row>
    <row r="49" spans="1:27" x14ac:dyDescent="0.15">
      <c r="A49" s="21" t="s">
        <v>66</v>
      </c>
      <c r="B49" s="6"/>
      <c r="F49" s="22" t="s">
        <v>66</v>
      </c>
      <c r="G49" s="6"/>
      <c r="J49" s="6"/>
      <c r="K49" s="6" t="s">
        <v>66</v>
      </c>
      <c r="L49" s="6"/>
      <c r="P49" s="6" t="s">
        <v>66</v>
      </c>
      <c r="Q49" s="6"/>
      <c r="V49">
        <f t="shared" si="2"/>
        <v>0</v>
      </c>
      <c r="W49" s="13">
        <f t="shared" si="2"/>
        <v>0</v>
      </c>
      <c r="X49">
        <f t="shared" si="1"/>
        <v>0</v>
      </c>
      <c r="Y49" s="13"/>
      <c r="AA49" s="14">
        <f>SUM(Table7356[[#This Row],[Net Taxable Fuel (Gallons)]]*Table7356[[#This Row],[Tax Rate]])</f>
        <v>0</v>
      </c>
    </row>
    <row r="50" spans="1:27" x14ac:dyDescent="0.15">
      <c r="A50" t="s">
        <v>65</v>
      </c>
      <c r="B50" s="6"/>
      <c r="F50" t="s">
        <v>65</v>
      </c>
      <c r="G50" s="6"/>
      <c r="K50" t="s">
        <v>65</v>
      </c>
      <c r="L50" s="6"/>
      <c r="P50" t="s">
        <v>65</v>
      </c>
      <c r="Q50" s="6"/>
      <c r="V50">
        <f t="shared" si="2"/>
        <v>0</v>
      </c>
      <c r="W50" s="13">
        <f t="shared" si="2"/>
        <v>0</v>
      </c>
      <c r="X50">
        <f t="shared" si="1"/>
        <v>0</v>
      </c>
      <c r="Y50" s="13"/>
      <c r="AA50" s="14">
        <f>SUM(Table7356[[#This Row],[Net Taxable Fuel (Gallons)]]*Table7356[[#This Row],[Tax Rate]])</f>
        <v>0</v>
      </c>
    </row>
  </sheetData>
  <mergeCells count="1">
    <mergeCell ref="A1:AA5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17E71-1E07-4DB3-9157-5A3F2AF9B3ED}">
  <dimension ref="A1:N49"/>
  <sheetViews>
    <sheetView workbookViewId="0">
      <selection activeCell="T52" sqref="T52"/>
    </sheetView>
  </sheetViews>
  <sheetFormatPr defaultColWidth="8.76171875" defaultRowHeight="12.75" x14ac:dyDescent="0.15"/>
  <cols>
    <col min="1" max="1" width="16.71875" customWidth="1"/>
    <col min="4" max="4" width="18.203125" customWidth="1"/>
    <col min="6" max="6" width="14.0234375" customWidth="1"/>
    <col min="7" max="7" width="16.71875" customWidth="1"/>
    <col min="10" max="10" width="20.359375" customWidth="1"/>
  </cols>
  <sheetData>
    <row r="1" spans="1:14" x14ac:dyDescent="0.15">
      <c r="A1" s="36" t="s">
        <v>103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</row>
    <row r="2" spans="1:14" x14ac:dyDescent="0.15">
      <c r="A2" s="36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</row>
    <row r="3" spans="1:14" x14ac:dyDescent="0.15">
      <c r="A3" s="36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</row>
    <row r="4" spans="1:14" x14ac:dyDescent="0.15">
      <c r="A4" s="36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</row>
    <row r="5" spans="1:14" x14ac:dyDescent="0.15">
      <c r="A5" s="36"/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</row>
    <row r="6" spans="1:14" x14ac:dyDescent="0.15">
      <c r="A6" t="s">
        <v>99</v>
      </c>
      <c r="B6" t="s">
        <v>36</v>
      </c>
      <c r="C6" t="s">
        <v>37</v>
      </c>
      <c r="D6" t="s">
        <v>100</v>
      </c>
      <c r="E6" t="s">
        <v>40</v>
      </c>
      <c r="F6" t="s">
        <v>41</v>
      </c>
      <c r="G6" t="s">
        <v>101</v>
      </c>
      <c r="H6" t="s">
        <v>44</v>
      </c>
      <c r="I6" t="s">
        <v>45</v>
      </c>
      <c r="J6" t="s">
        <v>102</v>
      </c>
      <c r="K6" t="s">
        <v>48</v>
      </c>
      <c r="L6" t="s">
        <v>49</v>
      </c>
      <c r="M6" t="s">
        <v>52</v>
      </c>
      <c r="N6" t="s">
        <v>53</v>
      </c>
    </row>
    <row r="7" spans="1:14" x14ac:dyDescent="0.15">
      <c r="B7" t="s">
        <v>20</v>
      </c>
      <c r="C7">
        <v>409</v>
      </c>
      <c r="E7" t="s">
        <v>20</v>
      </c>
      <c r="F7">
        <v>410</v>
      </c>
      <c r="H7" t="s">
        <v>20</v>
      </c>
      <c r="I7">
        <v>534</v>
      </c>
      <c r="J7">
        <v>2019</v>
      </c>
      <c r="K7" t="s">
        <v>20</v>
      </c>
      <c r="L7">
        <v>378</v>
      </c>
      <c r="M7" t="s">
        <v>20</v>
      </c>
      <c r="N7">
        <f t="shared" ref="N7:N43" si="0">SUM(C7,F7,I7,L7)</f>
        <v>1731</v>
      </c>
    </row>
    <row r="8" spans="1:14" x14ac:dyDescent="0.15">
      <c r="B8" t="s">
        <v>21</v>
      </c>
      <c r="C8">
        <v>2009</v>
      </c>
      <c r="E8" t="s">
        <v>21</v>
      </c>
      <c r="F8">
        <v>1433</v>
      </c>
      <c r="H8" t="s">
        <v>21</v>
      </c>
      <c r="I8">
        <v>1176</v>
      </c>
      <c r="J8">
        <v>2019</v>
      </c>
      <c r="K8" t="s">
        <v>21</v>
      </c>
      <c r="L8">
        <v>1376</v>
      </c>
      <c r="M8" t="s">
        <v>21</v>
      </c>
      <c r="N8">
        <f t="shared" si="0"/>
        <v>5994</v>
      </c>
    </row>
    <row r="9" spans="1:14" x14ac:dyDescent="0.15">
      <c r="B9" t="s">
        <v>1</v>
      </c>
      <c r="C9">
        <v>7670</v>
      </c>
      <c r="E9" t="s">
        <v>1</v>
      </c>
      <c r="F9">
        <v>8114</v>
      </c>
      <c r="H9" t="s">
        <v>1</v>
      </c>
      <c r="I9">
        <v>13496</v>
      </c>
      <c r="J9">
        <v>2019</v>
      </c>
      <c r="K9" t="s">
        <v>1</v>
      </c>
      <c r="L9">
        <v>18667</v>
      </c>
      <c r="M9" t="s">
        <v>1</v>
      </c>
      <c r="N9">
        <f t="shared" si="0"/>
        <v>47947</v>
      </c>
    </row>
    <row r="10" spans="1:14" x14ac:dyDescent="0.15">
      <c r="B10" t="s">
        <v>2</v>
      </c>
      <c r="C10">
        <v>22234</v>
      </c>
      <c r="E10" t="s">
        <v>2</v>
      </c>
      <c r="F10">
        <v>41776</v>
      </c>
      <c r="H10" t="s">
        <v>2</v>
      </c>
      <c r="I10">
        <v>44645</v>
      </c>
      <c r="J10">
        <v>2019</v>
      </c>
      <c r="K10" t="s">
        <v>2</v>
      </c>
      <c r="L10">
        <v>29801</v>
      </c>
      <c r="M10" t="s">
        <v>2</v>
      </c>
      <c r="N10">
        <f t="shared" si="0"/>
        <v>138456</v>
      </c>
    </row>
    <row r="11" spans="1:14" x14ac:dyDescent="0.15">
      <c r="B11" t="s">
        <v>11</v>
      </c>
      <c r="C11">
        <v>947</v>
      </c>
      <c r="E11" t="s">
        <v>11</v>
      </c>
      <c r="F11">
        <v>1548</v>
      </c>
      <c r="H11" t="s">
        <v>11</v>
      </c>
      <c r="I11">
        <v>524</v>
      </c>
      <c r="J11">
        <v>2019</v>
      </c>
      <c r="K11" t="s">
        <v>11</v>
      </c>
      <c r="L11">
        <v>777</v>
      </c>
      <c r="M11" t="s">
        <v>11</v>
      </c>
      <c r="N11">
        <f t="shared" si="0"/>
        <v>3796</v>
      </c>
    </row>
    <row r="12" spans="1:14" x14ac:dyDescent="0.15">
      <c r="B12" s="7" t="s">
        <v>59</v>
      </c>
      <c r="C12">
        <v>0</v>
      </c>
      <c r="E12" s="7" t="s">
        <v>59</v>
      </c>
      <c r="F12">
        <v>0</v>
      </c>
      <c r="H12" s="7" t="s">
        <v>59</v>
      </c>
      <c r="I12">
        <v>435</v>
      </c>
      <c r="J12">
        <v>2019</v>
      </c>
      <c r="K12" s="7" t="s">
        <v>59</v>
      </c>
      <c r="L12">
        <v>0</v>
      </c>
      <c r="M12" s="7" t="s">
        <v>59</v>
      </c>
      <c r="N12">
        <f t="shared" si="0"/>
        <v>435</v>
      </c>
    </row>
    <row r="13" spans="1:14" x14ac:dyDescent="0.15">
      <c r="B13" t="s">
        <v>32</v>
      </c>
      <c r="C13">
        <v>157</v>
      </c>
      <c r="E13" t="s">
        <v>32</v>
      </c>
      <c r="F13">
        <v>158</v>
      </c>
      <c r="H13" t="s">
        <v>32</v>
      </c>
      <c r="I13">
        <v>751</v>
      </c>
      <c r="J13">
        <v>2019</v>
      </c>
      <c r="K13" t="s">
        <v>32</v>
      </c>
      <c r="L13">
        <v>705</v>
      </c>
      <c r="M13" t="s">
        <v>32</v>
      </c>
      <c r="N13">
        <f t="shared" si="0"/>
        <v>1771</v>
      </c>
    </row>
    <row r="14" spans="1:14" x14ac:dyDescent="0.15">
      <c r="B14" t="s">
        <v>22</v>
      </c>
      <c r="C14">
        <v>1272</v>
      </c>
      <c r="E14" t="s">
        <v>22</v>
      </c>
      <c r="F14">
        <v>990</v>
      </c>
      <c r="H14" t="s">
        <v>22</v>
      </c>
      <c r="I14">
        <v>647</v>
      </c>
      <c r="J14">
        <v>2019</v>
      </c>
      <c r="K14" t="s">
        <v>22</v>
      </c>
      <c r="L14">
        <v>1020</v>
      </c>
      <c r="M14" t="s">
        <v>22</v>
      </c>
      <c r="N14">
        <f t="shared" si="0"/>
        <v>3929</v>
      </c>
    </row>
    <row r="15" spans="1:14" x14ac:dyDescent="0.15">
      <c r="B15" t="s">
        <v>3</v>
      </c>
      <c r="C15">
        <v>994</v>
      </c>
      <c r="E15" t="s">
        <v>3</v>
      </c>
      <c r="F15">
        <v>2619</v>
      </c>
      <c r="H15" t="s">
        <v>3</v>
      </c>
      <c r="I15">
        <v>2886</v>
      </c>
      <c r="J15">
        <v>2019</v>
      </c>
      <c r="K15" t="s">
        <v>3</v>
      </c>
      <c r="L15">
        <v>5240</v>
      </c>
      <c r="M15" t="s">
        <v>3</v>
      </c>
      <c r="N15">
        <f t="shared" si="0"/>
        <v>11739</v>
      </c>
    </row>
    <row r="16" spans="1:14" x14ac:dyDescent="0.15">
      <c r="B16" t="s">
        <v>23</v>
      </c>
      <c r="C16">
        <v>1441</v>
      </c>
      <c r="E16" t="s">
        <v>23</v>
      </c>
      <c r="F16">
        <v>1157</v>
      </c>
      <c r="H16" t="s">
        <v>23</v>
      </c>
      <c r="I16">
        <v>575</v>
      </c>
      <c r="J16">
        <v>2019</v>
      </c>
      <c r="K16" t="s">
        <v>23</v>
      </c>
      <c r="L16">
        <v>1243</v>
      </c>
      <c r="M16" t="s">
        <v>23</v>
      </c>
      <c r="N16">
        <f t="shared" si="0"/>
        <v>4416</v>
      </c>
    </row>
    <row r="17" spans="2:14" x14ac:dyDescent="0.15">
      <c r="B17" t="s">
        <v>24</v>
      </c>
      <c r="C17">
        <v>599</v>
      </c>
      <c r="E17" t="s">
        <v>24</v>
      </c>
      <c r="F17">
        <v>345</v>
      </c>
      <c r="H17" t="s">
        <v>24</v>
      </c>
      <c r="I17">
        <v>158</v>
      </c>
      <c r="J17">
        <v>2019</v>
      </c>
      <c r="K17" t="s">
        <v>24</v>
      </c>
      <c r="L17">
        <v>583</v>
      </c>
      <c r="M17" t="s">
        <v>24</v>
      </c>
      <c r="N17">
        <f t="shared" si="0"/>
        <v>1685</v>
      </c>
    </row>
    <row r="18" spans="2:14" x14ac:dyDescent="0.15">
      <c r="B18" t="s">
        <v>25</v>
      </c>
      <c r="C18">
        <v>3239</v>
      </c>
      <c r="E18" t="s">
        <v>25</v>
      </c>
      <c r="F18">
        <v>2458</v>
      </c>
      <c r="H18" t="s">
        <v>25</v>
      </c>
      <c r="I18">
        <v>107</v>
      </c>
      <c r="J18">
        <v>2019</v>
      </c>
      <c r="K18" t="s">
        <v>25</v>
      </c>
      <c r="L18">
        <v>2063</v>
      </c>
      <c r="M18" t="s">
        <v>25</v>
      </c>
      <c r="N18">
        <f t="shared" si="0"/>
        <v>7867</v>
      </c>
    </row>
    <row r="19" spans="2:14" x14ac:dyDescent="0.15">
      <c r="B19" t="s">
        <v>26</v>
      </c>
      <c r="C19">
        <v>1790</v>
      </c>
      <c r="E19" t="s">
        <v>26</v>
      </c>
      <c r="F19">
        <v>1481</v>
      </c>
      <c r="H19" t="s">
        <v>26</v>
      </c>
      <c r="I19">
        <v>308</v>
      </c>
      <c r="J19">
        <v>2019</v>
      </c>
      <c r="K19" t="s">
        <v>26</v>
      </c>
      <c r="L19">
        <v>362</v>
      </c>
      <c r="M19" t="s">
        <v>26</v>
      </c>
      <c r="N19">
        <f t="shared" si="0"/>
        <v>3941</v>
      </c>
    </row>
    <row r="20" spans="2:14" x14ac:dyDescent="0.15">
      <c r="B20" t="s">
        <v>54</v>
      </c>
      <c r="C20">
        <v>193</v>
      </c>
      <c r="E20" t="s">
        <v>54</v>
      </c>
      <c r="F20">
        <v>0</v>
      </c>
      <c r="H20" t="s">
        <v>54</v>
      </c>
      <c r="I20">
        <v>0</v>
      </c>
      <c r="J20">
        <v>2019</v>
      </c>
      <c r="K20" t="s">
        <v>54</v>
      </c>
      <c r="L20">
        <v>0</v>
      </c>
      <c r="M20" t="s">
        <v>54</v>
      </c>
      <c r="N20">
        <f t="shared" si="0"/>
        <v>193</v>
      </c>
    </row>
    <row r="21" spans="2:14" x14ac:dyDescent="0.15">
      <c r="B21" t="s">
        <v>55</v>
      </c>
      <c r="C21">
        <v>305</v>
      </c>
      <c r="E21" t="s">
        <v>55</v>
      </c>
      <c r="F21">
        <v>0</v>
      </c>
      <c r="H21" t="s">
        <v>55</v>
      </c>
      <c r="I21">
        <v>0</v>
      </c>
      <c r="J21">
        <v>2019</v>
      </c>
      <c r="K21" t="s">
        <v>55</v>
      </c>
      <c r="L21">
        <v>122</v>
      </c>
      <c r="M21" t="s">
        <v>55</v>
      </c>
      <c r="N21">
        <f t="shared" si="0"/>
        <v>427</v>
      </c>
    </row>
    <row r="22" spans="2:14" x14ac:dyDescent="0.15">
      <c r="B22" s="7" t="s">
        <v>28</v>
      </c>
      <c r="C22">
        <v>439</v>
      </c>
      <c r="E22" s="7" t="s">
        <v>28</v>
      </c>
      <c r="F22">
        <v>251</v>
      </c>
      <c r="H22" s="7" t="s">
        <v>28</v>
      </c>
      <c r="I22">
        <v>241</v>
      </c>
      <c r="J22">
        <v>2019</v>
      </c>
      <c r="K22" s="7" t="s">
        <v>28</v>
      </c>
      <c r="L22">
        <v>353</v>
      </c>
      <c r="M22" s="7" t="s">
        <v>28</v>
      </c>
      <c r="N22">
        <f t="shared" si="0"/>
        <v>1284</v>
      </c>
    </row>
    <row r="23" spans="2:14" x14ac:dyDescent="0.15">
      <c r="B23" t="s">
        <v>27</v>
      </c>
      <c r="C23">
        <v>2863</v>
      </c>
      <c r="E23" t="s">
        <v>27</v>
      </c>
      <c r="F23">
        <v>1599</v>
      </c>
      <c r="H23" t="s">
        <v>27</v>
      </c>
      <c r="I23">
        <v>1157</v>
      </c>
      <c r="J23">
        <v>2019</v>
      </c>
      <c r="K23" t="s">
        <v>27</v>
      </c>
      <c r="L23">
        <v>3731</v>
      </c>
      <c r="M23" t="s">
        <v>27</v>
      </c>
      <c r="N23">
        <f t="shared" si="0"/>
        <v>9350</v>
      </c>
    </row>
    <row r="24" spans="2:14" x14ac:dyDescent="0.15">
      <c r="B24" t="s">
        <v>4</v>
      </c>
      <c r="C24">
        <v>412</v>
      </c>
      <c r="E24" t="s">
        <v>4</v>
      </c>
      <c r="F24">
        <v>1947</v>
      </c>
      <c r="H24" t="s">
        <v>4</v>
      </c>
      <c r="I24">
        <v>1058</v>
      </c>
      <c r="J24">
        <v>2019</v>
      </c>
      <c r="K24" t="s">
        <v>4</v>
      </c>
      <c r="L24">
        <v>2351</v>
      </c>
      <c r="M24" t="s">
        <v>4</v>
      </c>
      <c r="N24">
        <f t="shared" si="0"/>
        <v>5768</v>
      </c>
    </row>
    <row r="25" spans="2:14" x14ac:dyDescent="0.15">
      <c r="J25">
        <v>2019</v>
      </c>
      <c r="N25">
        <f t="shared" si="0"/>
        <v>0</v>
      </c>
    </row>
    <row r="26" spans="2:14" x14ac:dyDescent="0.15">
      <c r="B26" t="s">
        <v>33</v>
      </c>
      <c r="C26">
        <v>1493</v>
      </c>
      <c r="E26" t="s">
        <v>33</v>
      </c>
      <c r="F26">
        <v>168</v>
      </c>
      <c r="H26" t="s">
        <v>33</v>
      </c>
      <c r="I26">
        <v>71</v>
      </c>
      <c r="J26">
        <v>2019</v>
      </c>
      <c r="K26" t="s">
        <v>33</v>
      </c>
      <c r="L26">
        <v>0</v>
      </c>
      <c r="M26" t="s">
        <v>33</v>
      </c>
      <c r="N26">
        <f t="shared" si="0"/>
        <v>1732</v>
      </c>
    </row>
    <row r="27" spans="2:14" x14ac:dyDescent="0.15">
      <c r="B27" t="s">
        <v>13</v>
      </c>
      <c r="C27">
        <v>7182</v>
      </c>
      <c r="E27" t="s">
        <v>13</v>
      </c>
      <c r="F27">
        <v>2514</v>
      </c>
      <c r="H27" t="s">
        <v>13</v>
      </c>
      <c r="I27">
        <v>2386</v>
      </c>
      <c r="J27">
        <v>2019</v>
      </c>
      <c r="K27" t="s">
        <v>13</v>
      </c>
      <c r="L27">
        <v>4789</v>
      </c>
      <c r="M27" t="s">
        <v>13</v>
      </c>
      <c r="N27">
        <f t="shared" si="0"/>
        <v>16871</v>
      </c>
    </row>
    <row r="28" spans="2:14" x14ac:dyDescent="0.15">
      <c r="B28" t="s">
        <v>14</v>
      </c>
      <c r="C28">
        <v>4225</v>
      </c>
      <c r="E28" t="s">
        <v>14</v>
      </c>
      <c r="F28">
        <v>3111</v>
      </c>
      <c r="H28" t="s">
        <v>14</v>
      </c>
      <c r="I28">
        <v>2649</v>
      </c>
      <c r="J28">
        <v>2019</v>
      </c>
      <c r="K28" t="s">
        <v>14</v>
      </c>
      <c r="L28">
        <v>4656</v>
      </c>
      <c r="M28" t="s">
        <v>14</v>
      </c>
      <c r="N28">
        <f t="shared" si="0"/>
        <v>14641</v>
      </c>
    </row>
    <row r="29" spans="2:14" x14ac:dyDescent="0.15">
      <c r="B29" t="s">
        <v>12</v>
      </c>
      <c r="C29">
        <v>0</v>
      </c>
      <c r="E29" t="s">
        <v>12</v>
      </c>
      <c r="F29">
        <v>505</v>
      </c>
      <c r="H29" t="s">
        <v>12</v>
      </c>
      <c r="I29">
        <v>0</v>
      </c>
      <c r="J29">
        <v>2019</v>
      </c>
      <c r="K29" t="s">
        <v>12</v>
      </c>
      <c r="L29">
        <v>0</v>
      </c>
      <c r="M29" t="s">
        <v>12</v>
      </c>
      <c r="N29">
        <f t="shared" si="0"/>
        <v>505</v>
      </c>
    </row>
    <row r="30" spans="2:14" x14ac:dyDescent="0.15">
      <c r="B30" t="s">
        <v>5</v>
      </c>
      <c r="C30">
        <v>14701</v>
      </c>
      <c r="E30" t="s">
        <v>5</v>
      </c>
      <c r="F30">
        <v>16324</v>
      </c>
      <c r="H30" t="s">
        <v>5</v>
      </c>
      <c r="I30">
        <v>15591</v>
      </c>
      <c r="J30">
        <v>2019</v>
      </c>
      <c r="K30" t="s">
        <v>5</v>
      </c>
      <c r="L30">
        <v>26824</v>
      </c>
      <c r="M30" t="s">
        <v>5</v>
      </c>
      <c r="N30">
        <f t="shared" si="0"/>
        <v>73440</v>
      </c>
    </row>
    <row r="31" spans="2:14" x14ac:dyDescent="0.15">
      <c r="B31" t="s">
        <v>29</v>
      </c>
      <c r="C31">
        <v>360</v>
      </c>
      <c r="E31" t="s">
        <v>29</v>
      </c>
      <c r="F31">
        <v>296</v>
      </c>
      <c r="H31" t="s">
        <v>29</v>
      </c>
      <c r="I31">
        <v>317</v>
      </c>
      <c r="J31">
        <v>2019</v>
      </c>
      <c r="K31" t="s">
        <v>29</v>
      </c>
      <c r="L31">
        <v>0</v>
      </c>
      <c r="M31" t="s">
        <v>29</v>
      </c>
      <c r="N31">
        <f t="shared" si="0"/>
        <v>973</v>
      </c>
    </row>
    <row r="32" spans="2:14" x14ac:dyDescent="0.15">
      <c r="B32" t="s">
        <v>15</v>
      </c>
      <c r="C32">
        <v>2776</v>
      </c>
      <c r="E32" t="s">
        <v>15</v>
      </c>
      <c r="F32">
        <v>2063</v>
      </c>
      <c r="H32" t="s">
        <v>15</v>
      </c>
      <c r="I32">
        <v>1619</v>
      </c>
      <c r="J32">
        <v>2019</v>
      </c>
      <c r="K32" t="s">
        <v>15</v>
      </c>
      <c r="L32">
        <v>2114</v>
      </c>
      <c r="M32" t="s">
        <v>15</v>
      </c>
      <c r="N32">
        <f t="shared" si="0"/>
        <v>8572</v>
      </c>
    </row>
    <row r="33" spans="1:14" x14ac:dyDescent="0.15">
      <c r="B33" t="s">
        <v>6</v>
      </c>
      <c r="C33">
        <v>6803</v>
      </c>
      <c r="E33" t="s">
        <v>6</v>
      </c>
      <c r="F33">
        <v>8208</v>
      </c>
      <c r="H33" t="s">
        <v>6</v>
      </c>
      <c r="I33">
        <v>8015</v>
      </c>
      <c r="J33">
        <v>2019</v>
      </c>
      <c r="K33" t="s">
        <v>6</v>
      </c>
      <c r="L33">
        <v>9216</v>
      </c>
      <c r="M33" t="s">
        <v>6</v>
      </c>
      <c r="N33">
        <f t="shared" si="0"/>
        <v>32242</v>
      </c>
    </row>
    <row r="34" spans="1:14" x14ac:dyDescent="0.15">
      <c r="B34" t="s">
        <v>34</v>
      </c>
      <c r="C34">
        <v>139</v>
      </c>
      <c r="E34" t="s">
        <v>34</v>
      </c>
      <c r="F34">
        <v>133</v>
      </c>
      <c r="H34" t="s">
        <v>34</v>
      </c>
      <c r="I34">
        <v>266</v>
      </c>
      <c r="J34">
        <v>2019</v>
      </c>
      <c r="K34" t="s">
        <v>34</v>
      </c>
      <c r="L34">
        <v>50</v>
      </c>
      <c r="M34" t="s">
        <v>34</v>
      </c>
      <c r="N34">
        <f t="shared" si="0"/>
        <v>588</v>
      </c>
    </row>
    <row r="35" spans="1:14" x14ac:dyDescent="0.15">
      <c r="B35" t="s">
        <v>16</v>
      </c>
      <c r="C35">
        <v>463</v>
      </c>
      <c r="E35" t="s">
        <v>16</v>
      </c>
      <c r="F35">
        <v>974</v>
      </c>
      <c r="H35" t="s">
        <v>16</v>
      </c>
      <c r="I35">
        <v>0</v>
      </c>
      <c r="J35">
        <v>2019</v>
      </c>
      <c r="K35" t="s">
        <v>16</v>
      </c>
      <c r="L35">
        <v>0</v>
      </c>
      <c r="M35" t="s">
        <v>16</v>
      </c>
      <c r="N35">
        <f t="shared" si="0"/>
        <v>1437</v>
      </c>
    </row>
    <row r="36" spans="1:14" x14ac:dyDescent="0.15">
      <c r="B36" t="s">
        <v>30</v>
      </c>
      <c r="C36">
        <v>2975</v>
      </c>
      <c r="E36" t="s">
        <v>30</v>
      </c>
      <c r="F36">
        <v>1681</v>
      </c>
      <c r="H36" t="s">
        <v>30</v>
      </c>
      <c r="I36">
        <v>469</v>
      </c>
      <c r="J36">
        <v>2019</v>
      </c>
      <c r="K36" t="s">
        <v>30</v>
      </c>
      <c r="L36">
        <v>474</v>
      </c>
      <c r="M36" t="s">
        <v>30</v>
      </c>
      <c r="N36">
        <f t="shared" si="0"/>
        <v>5599</v>
      </c>
    </row>
    <row r="37" spans="1:14" x14ac:dyDescent="0.15">
      <c r="B37" t="s">
        <v>17</v>
      </c>
      <c r="C37">
        <v>4773</v>
      </c>
      <c r="E37" t="s">
        <v>17</v>
      </c>
      <c r="F37">
        <v>5094</v>
      </c>
      <c r="H37" t="s">
        <v>17</v>
      </c>
      <c r="I37">
        <v>3332</v>
      </c>
      <c r="J37">
        <v>2019</v>
      </c>
      <c r="K37" t="s">
        <v>17</v>
      </c>
      <c r="L37">
        <v>1305</v>
      </c>
      <c r="M37" t="s">
        <v>17</v>
      </c>
      <c r="N37">
        <f t="shared" si="0"/>
        <v>14504</v>
      </c>
    </row>
    <row r="38" spans="1:14" x14ac:dyDescent="0.15">
      <c r="B38" t="s">
        <v>7</v>
      </c>
      <c r="C38">
        <v>3903</v>
      </c>
      <c r="E38" t="s">
        <v>7</v>
      </c>
      <c r="F38">
        <v>2555</v>
      </c>
      <c r="H38" t="s">
        <v>7</v>
      </c>
      <c r="I38">
        <v>2898</v>
      </c>
      <c r="J38">
        <v>2019</v>
      </c>
      <c r="K38" t="s">
        <v>7</v>
      </c>
      <c r="L38">
        <v>6235</v>
      </c>
      <c r="M38" t="s">
        <v>7</v>
      </c>
      <c r="N38">
        <f t="shared" si="0"/>
        <v>15591</v>
      </c>
    </row>
    <row r="39" spans="1:14" x14ac:dyDescent="0.15">
      <c r="B39" t="s">
        <v>56</v>
      </c>
      <c r="C39">
        <v>122</v>
      </c>
      <c r="E39" t="s">
        <v>56</v>
      </c>
      <c r="F39">
        <v>0</v>
      </c>
      <c r="H39" t="s">
        <v>56</v>
      </c>
      <c r="I39">
        <v>0</v>
      </c>
      <c r="J39">
        <v>2019</v>
      </c>
      <c r="K39" t="s">
        <v>56</v>
      </c>
      <c r="L39">
        <v>0</v>
      </c>
      <c r="M39" t="s">
        <v>56</v>
      </c>
      <c r="N39">
        <f t="shared" si="0"/>
        <v>122</v>
      </c>
    </row>
    <row r="40" spans="1:14" x14ac:dyDescent="0.15">
      <c r="B40" t="s">
        <v>8</v>
      </c>
      <c r="C40">
        <v>2047</v>
      </c>
      <c r="E40" t="s">
        <v>8</v>
      </c>
      <c r="F40">
        <v>2741</v>
      </c>
      <c r="H40" t="s">
        <v>8</v>
      </c>
      <c r="I40">
        <v>1985</v>
      </c>
      <c r="J40">
        <v>2019</v>
      </c>
      <c r="K40" t="s">
        <v>8</v>
      </c>
      <c r="L40">
        <v>3464</v>
      </c>
      <c r="M40" t="s">
        <v>8</v>
      </c>
      <c r="N40">
        <f t="shared" si="0"/>
        <v>10237</v>
      </c>
    </row>
    <row r="41" spans="1:14" x14ac:dyDescent="0.15">
      <c r="B41" t="s">
        <v>18</v>
      </c>
      <c r="C41">
        <v>7665</v>
      </c>
      <c r="E41" t="s">
        <v>18</v>
      </c>
      <c r="F41">
        <v>3023</v>
      </c>
      <c r="H41" t="s">
        <v>18</v>
      </c>
      <c r="I41">
        <v>2058</v>
      </c>
      <c r="J41">
        <v>2019</v>
      </c>
      <c r="K41" t="s">
        <v>18</v>
      </c>
      <c r="L41">
        <v>4199</v>
      </c>
      <c r="M41" t="s">
        <v>18</v>
      </c>
      <c r="N41">
        <f t="shared" si="0"/>
        <v>16945</v>
      </c>
    </row>
    <row r="42" spans="1:14" x14ac:dyDescent="0.15">
      <c r="B42" s="7" t="s">
        <v>58</v>
      </c>
      <c r="E42" s="7" t="s">
        <v>58</v>
      </c>
      <c r="H42" s="7" t="s">
        <v>58</v>
      </c>
      <c r="I42">
        <v>171</v>
      </c>
      <c r="J42">
        <v>2019</v>
      </c>
      <c r="K42" s="7" t="s">
        <v>58</v>
      </c>
      <c r="L42">
        <v>452</v>
      </c>
      <c r="M42" s="7" t="s">
        <v>58</v>
      </c>
      <c r="N42">
        <f t="shared" si="0"/>
        <v>623</v>
      </c>
    </row>
    <row r="43" spans="1:14" x14ac:dyDescent="0.15">
      <c r="B43" t="s">
        <v>9</v>
      </c>
      <c r="C43">
        <f>SUM(C7:C42)</f>
        <v>106600</v>
      </c>
      <c r="D43">
        <v>2015</v>
      </c>
      <c r="E43" t="s">
        <v>9</v>
      </c>
      <c r="F43">
        <f>SUM(F7:F42)</f>
        <v>115676</v>
      </c>
      <c r="G43">
        <v>2017</v>
      </c>
      <c r="H43" t="s">
        <v>9</v>
      </c>
      <c r="I43">
        <f>SUM(I7:I42)</f>
        <v>110525</v>
      </c>
      <c r="J43">
        <v>2019</v>
      </c>
      <c r="K43" t="s">
        <v>9</v>
      </c>
      <c r="L43">
        <f>SUM(L7:L42)</f>
        <v>132550</v>
      </c>
      <c r="M43" t="s">
        <v>9</v>
      </c>
      <c r="N43">
        <f t="shared" si="0"/>
        <v>465351</v>
      </c>
    </row>
    <row r="45" spans="1:14" x14ac:dyDescent="0.15">
      <c r="A45" s="6"/>
      <c r="D45" s="29"/>
      <c r="G45" s="30"/>
      <c r="J45" s="6"/>
      <c r="N45">
        <f>SUM(C45,F45,I45,L45)</f>
        <v>0</v>
      </c>
    </row>
    <row r="46" spans="1:14" x14ac:dyDescent="0.15">
      <c r="D46" s="3"/>
    </row>
    <row r="47" spans="1:14" x14ac:dyDescent="0.15">
      <c r="A47" s="5"/>
    </row>
    <row r="48" spans="1:14" x14ac:dyDescent="0.15">
      <c r="A48" s="6"/>
      <c r="D48" s="7"/>
      <c r="E48" s="7"/>
    </row>
    <row r="49" spans="1:10" x14ac:dyDescent="0.15">
      <c r="A49" s="21"/>
      <c r="D49" s="22"/>
      <c r="G49" s="6"/>
      <c r="J49" s="6"/>
    </row>
  </sheetData>
  <mergeCells count="1">
    <mergeCell ref="A1:N5"/>
  </mergeCells>
  <pageMargins left="0.7" right="0.7" top="0.75" bottom="0.75" header="0.3" footer="0.3"/>
  <pageSetup paperSize="3" orientation="landscape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495F9-8C5B-B347-AB11-D6C3A5FC3238}">
  <dimension ref="A1:AP62"/>
  <sheetViews>
    <sheetView tabSelected="1" topLeftCell="AJ2" workbookViewId="0">
      <selection activeCell="AL7" sqref="AL7"/>
    </sheetView>
  </sheetViews>
  <sheetFormatPr defaultColWidth="8.76171875" defaultRowHeight="12.75" x14ac:dyDescent="0.15"/>
  <cols>
    <col min="2" max="2" width="9.57421875" bestFit="1" customWidth="1"/>
    <col min="7" max="7" width="11.0546875" bestFit="1" customWidth="1"/>
    <col min="10" max="10" width="11.8671875" bestFit="1" customWidth="1"/>
    <col min="12" max="12" width="9.57421875" bestFit="1" customWidth="1"/>
    <col min="16" max="16" width="10.11328125" bestFit="1" customWidth="1"/>
    <col min="17" max="17" width="9.57421875" bestFit="1" customWidth="1"/>
    <col min="22" max="22" width="9.57421875" bestFit="1" customWidth="1"/>
    <col min="27" max="27" width="9.57421875" bestFit="1" customWidth="1"/>
    <col min="31" max="31" width="8.62890625" style="33"/>
    <col min="37" max="37" width="15.5078125" customWidth="1"/>
    <col min="38" max="38" width="29.26171875" customWidth="1"/>
    <col min="40" max="40" width="18.609375" customWidth="1"/>
    <col min="41" max="41" width="10.515625" style="12" bestFit="1" customWidth="1"/>
  </cols>
  <sheetData>
    <row r="1" spans="1:42" ht="12.75" customHeight="1" x14ac:dyDescent="0.5">
      <c r="A1" s="32" t="s">
        <v>98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4"/>
      <c r="AF1" s="32"/>
      <c r="AG1" s="32"/>
      <c r="AH1" s="32"/>
      <c r="AI1" s="32"/>
      <c r="AJ1" s="32"/>
      <c r="AK1" s="32"/>
      <c r="AL1" s="32"/>
      <c r="AM1" s="32"/>
      <c r="AN1" s="32"/>
      <c r="AO1" s="42"/>
    </row>
    <row r="2" spans="1:42" ht="12.75" customHeight="1" x14ac:dyDescent="0.5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4"/>
      <c r="AF2" s="32"/>
      <c r="AG2" s="32"/>
      <c r="AH2" s="32"/>
      <c r="AI2" s="32"/>
      <c r="AJ2" s="32"/>
      <c r="AK2" s="32"/>
      <c r="AL2" s="32"/>
      <c r="AM2" s="32"/>
      <c r="AN2" s="32"/>
      <c r="AO2" s="42"/>
    </row>
    <row r="3" spans="1:42" ht="12.75" customHeight="1" x14ac:dyDescent="0.5">
      <c r="A3" s="32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4"/>
      <c r="AF3" s="32"/>
      <c r="AG3" s="32"/>
      <c r="AH3" s="32"/>
      <c r="AI3" s="32"/>
      <c r="AJ3" s="32"/>
      <c r="AK3" s="32"/>
      <c r="AL3" s="32"/>
      <c r="AM3" s="32"/>
      <c r="AN3" s="32"/>
      <c r="AO3" s="42"/>
    </row>
    <row r="4" spans="1:42" ht="12.75" customHeight="1" x14ac:dyDescent="0.5">
      <c r="A4" s="32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4"/>
      <c r="AF4" s="32"/>
      <c r="AG4" s="32"/>
      <c r="AH4" s="32"/>
      <c r="AI4" s="32"/>
      <c r="AJ4" s="32"/>
      <c r="AK4" s="32"/>
      <c r="AL4" s="32"/>
      <c r="AM4" s="32"/>
      <c r="AN4" s="32"/>
      <c r="AO4" s="42"/>
    </row>
    <row r="5" spans="1:42" ht="12.75" customHeight="1" x14ac:dyDescent="0.5">
      <c r="A5" s="32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4"/>
      <c r="AF5" s="32"/>
      <c r="AG5" s="32"/>
      <c r="AH5" s="32"/>
      <c r="AI5" s="32"/>
      <c r="AJ5" s="32"/>
      <c r="AK5" s="32"/>
      <c r="AL5" s="32"/>
      <c r="AM5" s="32"/>
      <c r="AN5" s="32"/>
      <c r="AO5" s="42"/>
    </row>
    <row r="6" spans="1:42" x14ac:dyDescent="0.15">
      <c r="A6" t="s">
        <v>31</v>
      </c>
      <c r="B6" t="s">
        <v>36</v>
      </c>
      <c r="C6" t="s">
        <v>37</v>
      </c>
      <c r="D6" t="s">
        <v>38</v>
      </c>
      <c r="E6" t="s">
        <v>39</v>
      </c>
      <c r="F6" t="s">
        <v>89</v>
      </c>
      <c r="G6" t="s">
        <v>40</v>
      </c>
      <c r="H6" t="s">
        <v>41</v>
      </c>
      <c r="I6" t="s">
        <v>42</v>
      </c>
      <c r="J6" t="s">
        <v>43</v>
      </c>
      <c r="K6" t="s">
        <v>10</v>
      </c>
      <c r="L6" t="s">
        <v>44</v>
      </c>
      <c r="M6" t="s">
        <v>45</v>
      </c>
      <c r="N6" t="s">
        <v>46</v>
      </c>
      <c r="O6" t="s">
        <v>47</v>
      </c>
      <c r="P6" t="s">
        <v>0</v>
      </c>
      <c r="Q6" t="s">
        <v>48</v>
      </c>
      <c r="R6" t="s">
        <v>49</v>
      </c>
      <c r="S6" t="s">
        <v>50</v>
      </c>
      <c r="T6" t="s">
        <v>51</v>
      </c>
      <c r="U6" t="s">
        <v>19</v>
      </c>
      <c r="V6" t="s">
        <v>107</v>
      </c>
      <c r="W6" t="s">
        <v>108</v>
      </c>
      <c r="X6" t="s">
        <v>109</v>
      </c>
      <c r="Y6" t="s">
        <v>106</v>
      </c>
      <c r="Z6" t="s">
        <v>111</v>
      </c>
      <c r="AA6" t="s">
        <v>112</v>
      </c>
      <c r="AB6" t="s">
        <v>113</v>
      </c>
      <c r="AC6" t="s">
        <v>114</v>
      </c>
      <c r="AD6" t="s">
        <v>110</v>
      </c>
      <c r="AE6" s="33" t="s">
        <v>116</v>
      </c>
      <c r="AF6" t="s">
        <v>117</v>
      </c>
      <c r="AG6" t="s">
        <v>118</v>
      </c>
      <c r="AH6" t="s">
        <v>119</v>
      </c>
      <c r="AI6" t="s">
        <v>115</v>
      </c>
      <c r="AJ6" s="37" t="s">
        <v>52</v>
      </c>
      <c r="AK6" s="39" t="s">
        <v>53</v>
      </c>
      <c r="AL6" s="38" t="s">
        <v>61</v>
      </c>
      <c r="AM6" t="s">
        <v>62</v>
      </c>
      <c r="AN6" s="13" t="s">
        <v>63</v>
      </c>
      <c r="AO6" s="12" t="s">
        <v>35</v>
      </c>
      <c r="AP6" t="s">
        <v>64</v>
      </c>
    </row>
    <row r="7" spans="1:42" x14ac:dyDescent="0.15">
      <c r="A7">
        <v>2013</v>
      </c>
      <c r="B7" t="s">
        <v>20</v>
      </c>
      <c r="C7">
        <v>0</v>
      </c>
      <c r="D7">
        <v>0</v>
      </c>
      <c r="F7">
        <v>2015</v>
      </c>
      <c r="G7" t="s">
        <v>20</v>
      </c>
      <c r="H7">
        <v>211</v>
      </c>
      <c r="I7">
        <v>72</v>
      </c>
      <c r="K7">
        <v>2017</v>
      </c>
      <c r="L7" t="s">
        <v>20</v>
      </c>
      <c r="M7">
        <v>315</v>
      </c>
      <c r="N7">
        <v>119</v>
      </c>
      <c r="P7">
        <v>2019</v>
      </c>
      <c r="Q7" t="s">
        <v>20</v>
      </c>
      <c r="R7">
        <v>0</v>
      </c>
      <c r="U7">
        <v>2016</v>
      </c>
      <c r="V7" t="s">
        <v>20</v>
      </c>
      <c r="Z7">
        <v>55</v>
      </c>
      <c r="AA7" t="s">
        <v>20</v>
      </c>
      <c r="AB7">
        <v>0</v>
      </c>
      <c r="AE7" s="33" t="s">
        <v>116</v>
      </c>
      <c r="AF7" t="s">
        <v>20</v>
      </c>
      <c r="AJ7" t="s">
        <v>20</v>
      </c>
      <c r="AK7" s="39">
        <f>SUM(C7,H7,M7,R7,W7,AB7,AG7)</f>
        <v>526</v>
      </c>
      <c r="AL7" s="38">
        <f>SUM(D7,I7,N7,S7,X7,AC7,AH7)</f>
        <v>191</v>
      </c>
      <c r="AM7" s="15">
        <f>SUM(Table735679109[[#This Row],[MILES6]]/AN54)</f>
        <v>78.796591846376828</v>
      </c>
      <c r="AN7" s="17">
        <f>SUM(Table735679109[[#This Row],[Tax Paid Fuel (Gallons)]]-Table735679109[[#This Row],[Taxable Fuel (Gallons)]])</f>
        <v>112.20340815362317</v>
      </c>
      <c r="AO7" s="11">
        <v>0.31</v>
      </c>
      <c r="AP7" s="29">
        <f>SUM(Table735679109[[#This Row],[Net Taxable Fuel (Gallons)]]*Table735679109[[#This Row],[Tax Rate]])</f>
        <v>34.783056527623181</v>
      </c>
    </row>
    <row r="8" spans="1:42" x14ac:dyDescent="0.15">
      <c r="A8">
        <v>2013</v>
      </c>
      <c r="B8" t="s">
        <v>21</v>
      </c>
      <c r="C8">
        <v>363</v>
      </c>
      <c r="D8">
        <v>139</v>
      </c>
      <c r="F8">
        <v>2015</v>
      </c>
      <c r="G8" t="s">
        <v>21</v>
      </c>
      <c r="H8">
        <v>432</v>
      </c>
      <c r="I8">
        <v>158</v>
      </c>
      <c r="K8">
        <v>2017</v>
      </c>
      <c r="L8" t="s">
        <v>21</v>
      </c>
      <c r="M8">
        <v>293</v>
      </c>
      <c r="N8">
        <v>0</v>
      </c>
      <c r="P8">
        <v>2019</v>
      </c>
      <c r="Q8" t="s">
        <v>21</v>
      </c>
      <c r="R8">
        <v>0</v>
      </c>
      <c r="U8">
        <v>2016</v>
      </c>
      <c r="V8" t="s">
        <v>21</v>
      </c>
      <c r="Z8">
        <v>55</v>
      </c>
      <c r="AA8" t="s">
        <v>21</v>
      </c>
      <c r="AB8">
        <v>0</v>
      </c>
      <c r="AE8" s="33" t="s">
        <v>116</v>
      </c>
      <c r="AF8" t="s">
        <v>21</v>
      </c>
      <c r="AJ8" t="s">
        <v>21</v>
      </c>
      <c r="AK8" s="39">
        <f>SUM(C8,H8,M8,R8,W8,AB8,AG8)</f>
        <v>1088</v>
      </c>
      <c r="AL8" s="38">
        <f>SUM(D8,I8,N8,S8,X8,AC8,AH8)</f>
        <v>297</v>
      </c>
      <c r="AM8" s="15">
        <f>SUM(Table735679109[[#This Row],[MILES6]]/AN54)</f>
        <v>162.98610632862736</v>
      </c>
      <c r="AN8" s="19">
        <f>SUM(Table735679109[[#This Row],[Tax Paid Fuel (Gallons)]]-Table735679109[[#This Row],[Taxable Fuel (Gallons)]])</f>
        <v>134.01389367137264</v>
      </c>
      <c r="AO8" s="12">
        <v>0.28499999999999998</v>
      </c>
      <c r="AP8" s="6">
        <f>SUM(Table735679109[[#This Row],[Net Taxable Fuel (Gallons)]]*Table735679109[[#This Row],[Tax Rate]])</f>
        <v>38.193959696341203</v>
      </c>
    </row>
    <row r="9" spans="1:42" x14ac:dyDescent="0.15">
      <c r="A9">
        <v>2013</v>
      </c>
      <c r="B9" t="s">
        <v>1</v>
      </c>
      <c r="C9">
        <v>884</v>
      </c>
      <c r="D9">
        <v>320</v>
      </c>
      <c r="F9">
        <v>2015</v>
      </c>
      <c r="G9" t="s">
        <v>1</v>
      </c>
      <c r="H9">
        <v>3819</v>
      </c>
      <c r="I9">
        <v>1383</v>
      </c>
      <c r="K9">
        <v>2017</v>
      </c>
      <c r="L9" t="s">
        <v>1</v>
      </c>
      <c r="M9">
        <v>3185</v>
      </c>
      <c r="N9">
        <v>421</v>
      </c>
      <c r="P9">
        <v>2019</v>
      </c>
      <c r="Q9" t="s">
        <v>1</v>
      </c>
      <c r="R9">
        <v>8799</v>
      </c>
      <c r="S9">
        <v>2283</v>
      </c>
      <c r="U9">
        <v>2016</v>
      </c>
      <c r="V9" t="s">
        <v>1</v>
      </c>
      <c r="Z9">
        <v>55</v>
      </c>
      <c r="AA9" t="s">
        <v>1</v>
      </c>
      <c r="AB9">
        <v>1374</v>
      </c>
      <c r="AC9">
        <v>494</v>
      </c>
      <c r="AE9" s="33" t="s">
        <v>116</v>
      </c>
      <c r="AF9" t="s">
        <v>1</v>
      </c>
      <c r="AJ9" t="s">
        <v>1</v>
      </c>
      <c r="AK9" s="39">
        <f>SUM(C9,H9,M9,R9,W9,AB9,AG9)</f>
        <v>18061</v>
      </c>
      <c r="AL9" s="38">
        <f>SUM(D9,I9,N9,S9,X9,AC9,AH9)</f>
        <v>4901</v>
      </c>
      <c r="AM9" s="15">
        <f>SUM(Table735679109[[#This Row],[MILES6]]/AN54)</f>
        <v>2705.5993257365249</v>
      </c>
      <c r="AN9" s="19">
        <f>SUM(Table735679109[[#This Row],[Tax Paid Fuel (Gallons)]]-Table735679109[[#This Row],[Taxable Fuel (Gallons)]])</f>
        <v>2195.4006742634751</v>
      </c>
      <c r="AO9" s="12">
        <v>0.26</v>
      </c>
      <c r="AP9" s="6">
        <f>SUM(Table735679109[[#This Row],[Net Taxable Fuel (Gallons)]]*Table735679109[[#This Row],[Tax Rate]])</f>
        <v>570.80417530850355</v>
      </c>
    </row>
    <row r="10" spans="1:42" x14ac:dyDescent="0.15">
      <c r="A10">
        <v>2013</v>
      </c>
      <c r="B10" t="s">
        <v>2</v>
      </c>
      <c r="C10">
        <v>5023</v>
      </c>
      <c r="D10">
        <v>52</v>
      </c>
      <c r="F10">
        <v>2015</v>
      </c>
      <c r="G10" t="s">
        <v>2</v>
      </c>
      <c r="H10">
        <v>9480</v>
      </c>
      <c r="I10">
        <v>454</v>
      </c>
      <c r="K10">
        <v>2017</v>
      </c>
      <c r="L10" t="s">
        <v>2</v>
      </c>
      <c r="M10">
        <v>7848</v>
      </c>
      <c r="N10">
        <v>785</v>
      </c>
      <c r="P10">
        <v>2019</v>
      </c>
      <c r="Q10" t="s">
        <v>2</v>
      </c>
      <c r="R10">
        <v>10984</v>
      </c>
      <c r="S10">
        <v>220</v>
      </c>
      <c r="U10">
        <v>2016</v>
      </c>
      <c r="V10" t="s">
        <v>2</v>
      </c>
      <c r="Z10">
        <v>55</v>
      </c>
      <c r="AA10" t="s">
        <v>2</v>
      </c>
      <c r="AB10">
        <v>3462</v>
      </c>
      <c r="AE10" s="33" t="s">
        <v>116</v>
      </c>
      <c r="AF10" t="s">
        <v>2</v>
      </c>
      <c r="AJ10" t="s">
        <v>2</v>
      </c>
      <c r="AK10" s="39">
        <f>SUM(C10,H10,M10,R10,W10,AB10,AG10)</f>
        <v>36797</v>
      </c>
      <c r="AL10" s="38">
        <f>SUM(D10,I10,N10,S10,X10,AC10,AH10)</f>
        <v>1511</v>
      </c>
      <c r="AM10" s="15">
        <f>SUM(Table735679109[[#This Row],[MILES6]]/AN54)</f>
        <v>5512.3159508956815</v>
      </c>
      <c r="AN10" s="19">
        <f>SUM(Table735679109[[#This Row],[Tax Paid Fuel (Gallons)]]-Table735679109[[#This Row],[Taxable Fuel (Gallons)]])</f>
        <v>-4001.3159508956815</v>
      </c>
      <c r="AO10" s="12">
        <v>0.97099999999999997</v>
      </c>
      <c r="AP10" s="6">
        <f>SUM(Table735679109[[#This Row],[Net Taxable Fuel (Gallons)]]*Table735679109[[#This Row],[Tax Rate]])</f>
        <v>-3885.2777883197068</v>
      </c>
    </row>
    <row r="11" spans="1:42" x14ac:dyDescent="0.15">
      <c r="A11">
        <v>2013</v>
      </c>
      <c r="B11" t="s">
        <v>11</v>
      </c>
      <c r="C11">
        <v>69</v>
      </c>
      <c r="D11">
        <v>0</v>
      </c>
      <c r="F11">
        <v>2015</v>
      </c>
      <c r="G11" t="s">
        <v>11</v>
      </c>
      <c r="H11">
        <v>0</v>
      </c>
      <c r="I11">
        <v>0</v>
      </c>
      <c r="K11">
        <v>2017</v>
      </c>
      <c r="L11" t="s">
        <v>11</v>
      </c>
      <c r="M11">
        <v>0</v>
      </c>
      <c r="P11">
        <v>2019</v>
      </c>
      <c r="Q11" t="s">
        <v>11</v>
      </c>
      <c r="R11">
        <v>0</v>
      </c>
      <c r="U11">
        <v>2016</v>
      </c>
      <c r="V11" t="s">
        <v>11</v>
      </c>
      <c r="Z11">
        <v>55</v>
      </c>
      <c r="AA11" t="s">
        <v>11</v>
      </c>
      <c r="AB11">
        <v>69</v>
      </c>
      <c r="AE11" s="33" t="s">
        <v>116</v>
      </c>
      <c r="AF11" t="s">
        <v>11</v>
      </c>
      <c r="AJ11" t="s">
        <v>11</v>
      </c>
      <c r="AK11" s="39">
        <f>SUM(C11,H11,M11,R11,W11,AB11,AG11)</f>
        <v>138</v>
      </c>
      <c r="AL11" s="38">
        <f>SUM(D11,I11,N11,S11,X11,AC11,AH11)</f>
        <v>0</v>
      </c>
      <c r="AM11" s="15">
        <f>SUM(Table735679109[[#This Row],[MILES6]]/AN54)</f>
        <v>20.672870104182515</v>
      </c>
      <c r="AN11" s="19">
        <f>SUM(Table735679109[[#This Row],[Tax Paid Fuel (Gallons)]]-Table735679109[[#This Row],[Taxable Fuel (Gallons)]])</f>
        <v>-20.672870104182515</v>
      </c>
      <c r="AO11" s="12">
        <v>0.32500000000000001</v>
      </c>
      <c r="AP11" s="6">
        <f>SUM(Table735679109[[#This Row],[Net Taxable Fuel (Gallons)]]*Table735679109[[#This Row],[Tax Rate]])</f>
        <v>-6.7186827838593173</v>
      </c>
    </row>
    <row r="12" spans="1:42" x14ac:dyDescent="0.15">
      <c r="A12">
        <v>2013</v>
      </c>
      <c r="B12" t="s">
        <v>123</v>
      </c>
      <c r="F12">
        <v>2015</v>
      </c>
      <c r="G12" t="s">
        <v>123</v>
      </c>
      <c r="K12">
        <v>2017</v>
      </c>
      <c r="L12" t="s">
        <v>123</v>
      </c>
      <c r="P12">
        <v>2019</v>
      </c>
      <c r="Q12" t="s">
        <v>123</v>
      </c>
      <c r="U12">
        <v>2016</v>
      </c>
      <c r="V12" t="s">
        <v>123</v>
      </c>
      <c r="Z12">
        <v>55</v>
      </c>
      <c r="AA12" t="s">
        <v>123</v>
      </c>
      <c r="AE12" s="33" t="s">
        <v>116</v>
      </c>
      <c r="AF12" t="s">
        <v>123</v>
      </c>
      <c r="AJ12" t="s">
        <v>123</v>
      </c>
      <c r="AK12" s="39">
        <f>SUM(C12,H12,M12,R12,W12,AB12,AG12)</f>
        <v>0</v>
      </c>
      <c r="AL12" s="38">
        <f>SUM(D12,I12,N12,S12,X12,AC12,AH12)</f>
        <v>0</v>
      </c>
      <c r="AM12">
        <f>SUM(AN60)</f>
        <v>0</v>
      </c>
      <c r="AN12" s="19"/>
      <c r="AO12" s="12">
        <v>0.48899999999999999</v>
      </c>
      <c r="AP12" s="6">
        <f>SUM(Table735679109[[#This Row],[Net Taxable Fuel (Gallons)]]*Table735679109[[#This Row],[Tax Rate]])</f>
        <v>0</v>
      </c>
    </row>
    <row r="13" spans="1:42" x14ac:dyDescent="0.15">
      <c r="A13">
        <v>2013</v>
      </c>
      <c r="B13" t="s">
        <v>124</v>
      </c>
      <c r="F13">
        <v>2015</v>
      </c>
      <c r="G13" t="s">
        <v>124</v>
      </c>
      <c r="K13">
        <v>2017</v>
      </c>
      <c r="L13" t="s">
        <v>124</v>
      </c>
      <c r="P13">
        <v>2019</v>
      </c>
      <c r="Q13" t="s">
        <v>124</v>
      </c>
      <c r="U13">
        <v>2016</v>
      </c>
      <c r="V13" t="s">
        <v>124</v>
      </c>
      <c r="Z13">
        <v>55</v>
      </c>
      <c r="AA13" t="s">
        <v>124</v>
      </c>
      <c r="AE13" s="33" t="s">
        <v>116</v>
      </c>
      <c r="AF13" t="s">
        <v>124</v>
      </c>
      <c r="AJ13" t="s">
        <v>124</v>
      </c>
      <c r="AK13" s="39">
        <f>SUM(C13,H13,M13,R13,W13,AB13,AG13)</f>
        <v>0</v>
      </c>
      <c r="AL13" s="38">
        <f>SUM(D13,I13,N13,S13,X13,AC13,AH13)</f>
        <v>0</v>
      </c>
      <c r="AM13">
        <f>SUM(AN61)</f>
        <v>0</v>
      </c>
      <c r="AN13" s="19"/>
      <c r="AO13" s="43">
        <v>0.22</v>
      </c>
      <c r="AP13" s="6">
        <f>SUM(Table735679109[[#This Row],[Net Taxable Fuel (Gallons)]]*Table735679109[[#This Row],[Tax Rate]])</f>
        <v>0</v>
      </c>
    </row>
    <row r="14" spans="1:42" x14ac:dyDescent="0.15">
      <c r="A14">
        <v>2013</v>
      </c>
      <c r="B14" s="7" t="s">
        <v>59</v>
      </c>
      <c r="C14">
        <v>0</v>
      </c>
      <c r="D14">
        <v>0</v>
      </c>
      <c r="F14">
        <v>2015</v>
      </c>
      <c r="G14" s="7" t="s">
        <v>59</v>
      </c>
      <c r="H14">
        <v>0</v>
      </c>
      <c r="I14">
        <v>0</v>
      </c>
      <c r="K14">
        <v>2017</v>
      </c>
      <c r="L14" s="7" t="s">
        <v>59</v>
      </c>
      <c r="M14">
        <v>0</v>
      </c>
      <c r="P14">
        <v>2019</v>
      </c>
      <c r="Q14" s="7" t="s">
        <v>59</v>
      </c>
      <c r="R14">
        <v>0</v>
      </c>
      <c r="U14">
        <v>2016</v>
      </c>
      <c r="V14" s="7" t="s">
        <v>59</v>
      </c>
      <c r="Z14">
        <v>55</v>
      </c>
      <c r="AA14" s="7" t="s">
        <v>59</v>
      </c>
      <c r="AB14">
        <v>0</v>
      </c>
      <c r="AE14" s="33" t="s">
        <v>116</v>
      </c>
      <c r="AF14" s="7" t="s">
        <v>59</v>
      </c>
      <c r="AJ14" t="s">
        <v>59</v>
      </c>
      <c r="AK14" s="39">
        <f>SUM(C14,H14,M14,R14,W14,AB14,AG14)</f>
        <v>0</v>
      </c>
      <c r="AL14" s="38">
        <f>SUM(D14,I14,N14,S14,X14,AC14,AH14)</f>
        <v>0</v>
      </c>
      <c r="AM14" s="15">
        <f>SUM(Table735679109[[#This Row],[MILES6]]/AN54)</f>
        <v>0</v>
      </c>
      <c r="AN14" s="19">
        <f>SUM(Table735679109[[#This Row],[Tax Paid Fuel (Gallons)]]-Table735679109[[#This Row],[Taxable Fuel (Gallons)]])</f>
        <v>0</v>
      </c>
      <c r="AO14" s="12">
        <v>0.4027</v>
      </c>
      <c r="AP14" s="6">
        <f>SUM(Table735679109[[#This Row],[Net Taxable Fuel (Gallons)]]*Table735679109[[#This Row],[Tax Rate]])</f>
        <v>0</v>
      </c>
    </row>
    <row r="15" spans="1:42" x14ac:dyDescent="0.15">
      <c r="A15">
        <v>2013</v>
      </c>
      <c r="B15" t="s">
        <v>32</v>
      </c>
      <c r="C15">
        <v>0</v>
      </c>
      <c r="D15">
        <v>0</v>
      </c>
      <c r="F15">
        <v>2015</v>
      </c>
      <c r="G15" t="s">
        <v>32</v>
      </c>
      <c r="H15">
        <v>195</v>
      </c>
      <c r="I15">
        <v>0</v>
      </c>
      <c r="K15">
        <v>2017</v>
      </c>
      <c r="L15" t="s">
        <v>32</v>
      </c>
      <c r="M15">
        <v>224</v>
      </c>
      <c r="P15">
        <v>2019</v>
      </c>
      <c r="Q15" t="s">
        <v>32</v>
      </c>
      <c r="R15">
        <v>0</v>
      </c>
      <c r="U15">
        <v>2016</v>
      </c>
      <c r="V15" t="s">
        <v>32</v>
      </c>
      <c r="Z15">
        <v>55</v>
      </c>
      <c r="AA15" t="s">
        <v>32</v>
      </c>
      <c r="AB15">
        <v>0</v>
      </c>
      <c r="AE15" s="33" t="s">
        <v>116</v>
      </c>
      <c r="AF15" t="s">
        <v>32</v>
      </c>
      <c r="AJ15" t="s">
        <v>32</v>
      </c>
      <c r="AK15" s="39">
        <f>SUM(C15,H15,M15,R15,W15,AB15,AG15)</f>
        <v>419</v>
      </c>
      <c r="AL15" s="38">
        <f>SUM(D15,I15,N15,S15,X15,AC15,AH15)</f>
        <v>0</v>
      </c>
      <c r="AM15" s="15">
        <f>SUM(Table735679109[[#This Row],[MILES6]]/AN54)</f>
        <v>62.76762734530778</v>
      </c>
      <c r="AN15" s="19">
        <f>SUM(Table735679109[[#This Row],[Tax Paid Fuel (Gallons)]]-Table735679109[[#This Row],[Taxable Fuel (Gallons)]])</f>
        <v>-62.76762734530778</v>
      </c>
      <c r="AO15" s="12">
        <v>0.371</v>
      </c>
      <c r="AP15" s="6">
        <f>SUM(Table735679109[[#This Row],[Net Taxable Fuel (Gallons)]]*Table735679109[[#This Row],[Tax Rate]])</f>
        <v>-23.286789745109186</v>
      </c>
    </row>
    <row r="16" spans="1:42" x14ac:dyDescent="0.15">
      <c r="A16">
        <v>2013</v>
      </c>
      <c r="B16" t="s">
        <v>22</v>
      </c>
      <c r="C16">
        <v>892</v>
      </c>
      <c r="D16">
        <v>0</v>
      </c>
      <c r="F16">
        <v>2015</v>
      </c>
      <c r="G16" t="s">
        <v>22</v>
      </c>
      <c r="H16">
        <v>339</v>
      </c>
      <c r="I16">
        <v>0</v>
      </c>
      <c r="K16">
        <v>2017</v>
      </c>
      <c r="L16" t="s">
        <v>22</v>
      </c>
      <c r="M16">
        <v>970</v>
      </c>
      <c r="N16">
        <v>153</v>
      </c>
      <c r="P16">
        <v>2019</v>
      </c>
      <c r="Q16" t="s">
        <v>22</v>
      </c>
      <c r="R16">
        <v>0</v>
      </c>
      <c r="U16">
        <v>2016</v>
      </c>
      <c r="V16" t="s">
        <v>22</v>
      </c>
      <c r="Z16">
        <v>55</v>
      </c>
      <c r="AA16" t="s">
        <v>22</v>
      </c>
      <c r="AB16">
        <v>0</v>
      </c>
      <c r="AE16" s="33" t="s">
        <v>116</v>
      </c>
      <c r="AF16" t="s">
        <v>22</v>
      </c>
      <c r="AJ16" t="s">
        <v>22</v>
      </c>
      <c r="AK16" s="39">
        <f>SUM(C16,H16,M16,R16,W16,AB16,AG16)</f>
        <v>2201</v>
      </c>
      <c r="AL16" s="38">
        <f>SUM(D16,I16,N16,S16,X16,AC16,AH16)</f>
        <v>153</v>
      </c>
      <c r="AM16" s="15">
        <f>SUM(Table735679109[[#This Row],[MILES6]]/AN54)</f>
        <v>329.71729782105592</v>
      </c>
      <c r="AN16" s="19">
        <f>SUM(Table735679109[[#This Row],[Tax Paid Fuel (Gallons)]]-Table735679109[[#This Row],[Taxable Fuel (Gallons)]])</f>
        <v>-176.71729782105592</v>
      </c>
      <c r="AO16" s="12">
        <v>0.32500000000000001</v>
      </c>
      <c r="AP16" s="6">
        <f>SUM(Table735679109[[#This Row],[Net Taxable Fuel (Gallons)]]*Table735679109[[#This Row],[Tax Rate]])</f>
        <v>-57.433121791843178</v>
      </c>
    </row>
    <row r="17" spans="1:42" x14ac:dyDescent="0.15">
      <c r="A17">
        <v>2013</v>
      </c>
      <c r="B17" t="s">
        <v>3</v>
      </c>
      <c r="C17">
        <v>273</v>
      </c>
      <c r="D17">
        <v>156</v>
      </c>
      <c r="F17">
        <v>2015</v>
      </c>
      <c r="G17" t="s">
        <v>3</v>
      </c>
      <c r="H17">
        <v>0</v>
      </c>
      <c r="I17">
        <v>0</v>
      </c>
      <c r="K17">
        <v>2017</v>
      </c>
      <c r="L17" t="s">
        <v>3</v>
      </c>
      <c r="M17">
        <v>545</v>
      </c>
      <c r="P17">
        <v>2019</v>
      </c>
      <c r="Q17" t="s">
        <v>3</v>
      </c>
      <c r="R17">
        <v>0</v>
      </c>
      <c r="U17">
        <v>2016</v>
      </c>
      <c r="V17" t="s">
        <v>3</v>
      </c>
      <c r="Z17">
        <v>55</v>
      </c>
      <c r="AA17" t="s">
        <v>3</v>
      </c>
      <c r="AB17">
        <v>0</v>
      </c>
      <c r="AE17" s="33" t="s">
        <v>116</v>
      </c>
      <c r="AF17" t="s">
        <v>3</v>
      </c>
      <c r="AJ17" t="s">
        <v>3</v>
      </c>
      <c r="AK17" s="39">
        <f>SUM(C17,H17,M17,R17,W17,AB17,AG17)</f>
        <v>818</v>
      </c>
      <c r="AL17" s="38">
        <f>SUM(D17,I17,N17,S17,X17,AC17,AH17)</f>
        <v>156</v>
      </c>
      <c r="AM17" s="15">
        <f>SUM(Table735679109[[#This Row],[MILES6]]/AN54)</f>
        <v>122.53918655957462</v>
      </c>
      <c r="AN17" s="19">
        <f>SUM(Table735679109[[#This Row],[Tax Paid Fuel (Gallons)]]-AM17)</f>
        <v>33.460813440425383</v>
      </c>
      <c r="AO17" s="12">
        <v>0.32</v>
      </c>
      <c r="AP17" s="6">
        <f>SUM(Table735679109[[#This Row],[Net Taxable Fuel (Gallons)]]*Table735679109[[#This Row],[Tax Rate]])</f>
        <v>10.707460300936123</v>
      </c>
    </row>
    <row r="18" spans="1:42" x14ac:dyDescent="0.15">
      <c r="A18">
        <v>2013</v>
      </c>
      <c r="B18" t="s">
        <v>23</v>
      </c>
      <c r="C18">
        <v>369</v>
      </c>
      <c r="D18">
        <v>0</v>
      </c>
      <c r="F18">
        <v>2015</v>
      </c>
      <c r="G18" t="s">
        <v>23</v>
      </c>
      <c r="H18">
        <v>617</v>
      </c>
      <c r="I18">
        <v>0</v>
      </c>
      <c r="K18">
        <v>2017</v>
      </c>
      <c r="L18" t="s">
        <v>23</v>
      </c>
      <c r="M18">
        <v>626</v>
      </c>
      <c r="P18">
        <v>2019</v>
      </c>
      <c r="Q18" t="s">
        <v>23</v>
      </c>
      <c r="R18">
        <v>0</v>
      </c>
      <c r="U18">
        <v>2016</v>
      </c>
      <c r="V18" t="s">
        <v>23</v>
      </c>
      <c r="Z18">
        <v>55</v>
      </c>
      <c r="AA18" t="s">
        <v>23</v>
      </c>
      <c r="AB18">
        <v>0</v>
      </c>
      <c r="AE18" s="33" t="s">
        <v>116</v>
      </c>
      <c r="AF18" t="s">
        <v>23</v>
      </c>
      <c r="AJ18" t="s">
        <v>23</v>
      </c>
      <c r="AK18" s="39">
        <f>SUM(C18,H18,M18,R18,W18,AB18,AG18)</f>
        <v>1612</v>
      </c>
      <c r="AL18" s="38">
        <f>SUM(D18,I18,N18,S18,X18,AC18,AH18)</f>
        <v>0</v>
      </c>
      <c r="AM18" s="15">
        <f>SUM(Table735679109[[#This Row],[MILES6]]/AN54)</f>
        <v>241.48309136190011</v>
      </c>
      <c r="AN18" s="19">
        <f>SUM(Table735679109[[#This Row],[Tax Paid Fuel (Gallons)]]-Table735679109[[#This Row],[Taxable Fuel (Gallons)]])</f>
        <v>-241.48309136190011</v>
      </c>
      <c r="AO18" s="12">
        <v>0.73799999999999999</v>
      </c>
      <c r="AP18" s="6">
        <f>SUM(Table735679109[[#This Row],[Net Taxable Fuel (Gallons)]]*Table735679109[[#This Row],[Tax Rate]])</f>
        <v>-178.21452142508227</v>
      </c>
    </row>
    <row r="19" spans="1:42" x14ac:dyDescent="0.15">
      <c r="A19">
        <v>2013</v>
      </c>
      <c r="B19" t="s">
        <v>24</v>
      </c>
      <c r="C19">
        <v>0</v>
      </c>
      <c r="D19">
        <v>0</v>
      </c>
      <c r="F19">
        <v>2015</v>
      </c>
      <c r="G19" t="s">
        <v>24</v>
      </c>
      <c r="H19">
        <v>539</v>
      </c>
      <c r="I19">
        <v>0</v>
      </c>
      <c r="K19">
        <v>2017</v>
      </c>
      <c r="L19" t="s">
        <v>24</v>
      </c>
      <c r="M19">
        <v>538</v>
      </c>
      <c r="P19">
        <v>2019</v>
      </c>
      <c r="Q19" t="s">
        <v>24</v>
      </c>
      <c r="R19">
        <v>0</v>
      </c>
      <c r="U19">
        <v>2016</v>
      </c>
      <c r="V19" t="s">
        <v>24</v>
      </c>
      <c r="Z19">
        <v>55</v>
      </c>
      <c r="AA19" t="s">
        <v>24</v>
      </c>
      <c r="AB19">
        <v>0</v>
      </c>
      <c r="AE19" s="33" t="s">
        <v>116</v>
      </c>
      <c r="AF19" t="s">
        <v>24</v>
      </c>
      <c r="AJ19" t="s">
        <v>24</v>
      </c>
      <c r="AK19" s="39">
        <f>SUM(C19,H19,M19,R19,W19,AB19,AG19)</f>
        <v>1077</v>
      </c>
      <c r="AL19" s="38">
        <f>SUM(D19,I19,N19,S19,X19,AC19,AH19)</f>
        <v>0</v>
      </c>
      <c r="AM19" s="15">
        <f>SUM(Table735679109[[#This Row],[MILES6]]/AN54)</f>
        <v>161.33826885655483</v>
      </c>
      <c r="AN19" s="19">
        <f>SUM(Table735679109[[#This Row],[Tax Paid Fuel (Gallons)]]-Table735679109[[#This Row],[Taxable Fuel (Gallons)]])</f>
        <v>-161.33826885655483</v>
      </c>
      <c r="AO19" s="12">
        <v>0.61</v>
      </c>
      <c r="AP19" s="6">
        <f>SUM(Table735679109[[#This Row],[Net Taxable Fuel (Gallons)]]*Table735679109[[#This Row],[Tax Rate]])</f>
        <v>-98.416344002498448</v>
      </c>
    </row>
    <row r="20" spans="1:42" x14ac:dyDescent="0.15">
      <c r="A20">
        <v>2013</v>
      </c>
      <c r="B20" t="s">
        <v>25</v>
      </c>
      <c r="C20">
        <v>85</v>
      </c>
      <c r="D20">
        <v>0</v>
      </c>
      <c r="F20">
        <v>2015</v>
      </c>
      <c r="G20" t="s">
        <v>25</v>
      </c>
      <c r="H20">
        <v>0</v>
      </c>
      <c r="I20">
        <v>0</v>
      </c>
      <c r="K20">
        <v>2017</v>
      </c>
      <c r="L20" t="s">
        <v>25</v>
      </c>
      <c r="M20">
        <v>833</v>
      </c>
      <c r="P20">
        <v>2019</v>
      </c>
      <c r="Q20" t="s">
        <v>25</v>
      </c>
      <c r="R20">
        <v>218</v>
      </c>
      <c r="U20">
        <v>2016</v>
      </c>
      <c r="V20" t="s">
        <v>25</v>
      </c>
      <c r="Z20">
        <v>55</v>
      </c>
      <c r="AA20" t="s">
        <v>25</v>
      </c>
      <c r="AB20">
        <v>0</v>
      </c>
      <c r="AE20" s="33" t="s">
        <v>116</v>
      </c>
      <c r="AF20" t="s">
        <v>25</v>
      </c>
      <c r="AJ20" t="s">
        <v>25</v>
      </c>
      <c r="AK20" s="39">
        <f>SUM(C20,H20,M20,R20,W20,AB20,AG20)</f>
        <v>1136</v>
      </c>
      <c r="AL20" s="38">
        <f>SUM(D20,I20,N20,S20,X20,AC20,AH20)</f>
        <v>0</v>
      </c>
      <c r="AM20" s="15">
        <f>SUM(Table735679109[[#This Row],[MILES6]]/AN54)</f>
        <v>170.17666984312564</v>
      </c>
      <c r="AN20" s="19">
        <f>SUM(Table735679109[[#This Row],[Tax Paid Fuel (Gallons)]]-Table735679109[[#This Row],[Taxable Fuel (Gallons)]])</f>
        <v>-170.17666984312564</v>
      </c>
      <c r="AO20" s="12">
        <v>0.26</v>
      </c>
      <c r="AP20" s="6">
        <f>SUM(Table735679109[[#This Row],[Net Taxable Fuel (Gallons)]]*Table735679109[[#This Row],[Tax Rate]])</f>
        <v>-44.245934159212666</v>
      </c>
    </row>
    <row r="21" spans="1:42" x14ac:dyDescent="0.15">
      <c r="A21">
        <v>2013</v>
      </c>
      <c r="B21" t="s">
        <v>26</v>
      </c>
      <c r="C21">
        <v>0</v>
      </c>
      <c r="D21">
        <v>0</v>
      </c>
      <c r="F21">
        <v>2015</v>
      </c>
      <c r="G21" t="s">
        <v>26</v>
      </c>
      <c r="H21">
        <v>706</v>
      </c>
      <c r="I21">
        <v>292</v>
      </c>
      <c r="K21">
        <v>2017</v>
      </c>
      <c r="L21" t="s">
        <v>26</v>
      </c>
      <c r="M21">
        <v>423</v>
      </c>
      <c r="N21">
        <v>119</v>
      </c>
      <c r="P21">
        <v>2019</v>
      </c>
      <c r="Q21" t="s">
        <v>26</v>
      </c>
      <c r="R21">
        <v>0</v>
      </c>
      <c r="U21">
        <v>2016</v>
      </c>
      <c r="V21" t="s">
        <v>26</v>
      </c>
      <c r="Z21">
        <v>55</v>
      </c>
      <c r="AA21" t="s">
        <v>26</v>
      </c>
      <c r="AB21">
        <v>0</v>
      </c>
      <c r="AE21" s="33" t="s">
        <v>116</v>
      </c>
      <c r="AF21" t="s">
        <v>26</v>
      </c>
      <c r="AJ21" t="s">
        <v>26</v>
      </c>
      <c r="AK21" s="39">
        <f>SUM(C21,H21,M21,R21,W21,AB21,AG21)</f>
        <v>1129</v>
      </c>
      <c r="AL21" s="38">
        <f>SUM(D21,I21,N21,S21,X21,AC21,AH21)</f>
        <v>411</v>
      </c>
      <c r="AM21" s="15">
        <f>SUM(Table735679109[[#This Row],[MILES6]]/AN54)</f>
        <v>169.1280459972613</v>
      </c>
      <c r="AN21" s="19">
        <f>SUM(Table735679109[[#This Row],[Tax Paid Fuel (Gallons)]]-Table735679109[[#This Row],[Taxable Fuel (Gallons)]])</f>
        <v>241.8719540027387</v>
      </c>
      <c r="AO21" s="12">
        <v>0.22</v>
      </c>
      <c r="AP21" s="6">
        <f>SUM(Table735679109[[#This Row],[Net Taxable Fuel (Gallons)]]*Table735679109[[#This Row],[Tax Rate]])</f>
        <v>53.211829880602515</v>
      </c>
    </row>
    <row r="22" spans="1:42" x14ac:dyDescent="0.15">
      <c r="A22">
        <v>2013</v>
      </c>
      <c r="B22" t="s">
        <v>54</v>
      </c>
      <c r="C22">
        <v>161</v>
      </c>
      <c r="D22">
        <v>0</v>
      </c>
      <c r="F22">
        <v>2015</v>
      </c>
      <c r="G22" t="s">
        <v>54</v>
      </c>
      <c r="H22">
        <v>193</v>
      </c>
      <c r="I22">
        <v>211</v>
      </c>
      <c r="K22">
        <v>2017</v>
      </c>
      <c r="L22" t="s">
        <v>54</v>
      </c>
      <c r="M22">
        <v>0</v>
      </c>
      <c r="P22">
        <v>2019</v>
      </c>
      <c r="Q22" t="s">
        <v>54</v>
      </c>
      <c r="R22">
        <v>0</v>
      </c>
      <c r="U22">
        <v>2016</v>
      </c>
      <c r="V22" t="s">
        <v>54</v>
      </c>
      <c r="Z22">
        <v>55</v>
      </c>
      <c r="AA22" t="s">
        <v>54</v>
      </c>
      <c r="AB22">
        <v>0</v>
      </c>
      <c r="AE22" s="33" t="s">
        <v>116</v>
      </c>
      <c r="AF22" t="s">
        <v>54</v>
      </c>
      <c r="AJ22" t="s">
        <v>54</v>
      </c>
      <c r="AK22" s="39">
        <f>SUM(C22,H22,M22,R22,W22,AB22,AG22)</f>
        <v>354</v>
      </c>
      <c r="AL22" s="38">
        <f>SUM(D22,I22,N22,S22,X22,AC22,AH22)</f>
        <v>211</v>
      </c>
      <c r="AM22" s="15">
        <f>SUM(Table735679109[[#This Row],[MILES6]]/AN54)</f>
        <v>53.030405919424716</v>
      </c>
      <c r="AN22" s="19">
        <f>SUM(Table735679109[[#This Row],[Tax Paid Fuel (Gallons)]]-Table735679109[[#This Row],[Taxable Fuel (Gallons)]])</f>
        <v>157.96959408057529</v>
      </c>
      <c r="AO22" s="12">
        <v>0.2</v>
      </c>
      <c r="AP22" s="6">
        <f>SUM(Table735679109[[#This Row],[Net Taxable Fuel (Gallons)]]*Table735679109[[#This Row],[Tax Rate]])</f>
        <v>31.59391881611506</v>
      </c>
    </row>
    <row r="23" spans="1:42" x14ac:dyDescent="0.15">
      <c r="A23">
        <v>2013</v>
      </c>
      <c r="B23" t="s">
        <v>125</v>
      </c>
      <c r="C23">
        <v>0</v>
      </c>
      <c r="D23">
        <v>0</v>
      </c>
      <c r="F23">
        <v>2015</v>
      </c>
      <c r="G23" t="s">
        <v>125</v>
      </c>
      <c r="H23">
        <v>0</v>
      </c>
      <c r="I23">
        <v>0</v>
      </c>
      <c r="K23">
        <v>2017</v>
      </c>
      <c r="L23" t="s">
        <v>125</v>
      </c>
      <c r="P23">
        <v>2019</v>
      </c>
      <c r="Q23" t="s">
        <v>125</v>
      </c>
      <c r="U23">
        <v>2016</v>
      </c>
      <c r="V23" t="s">
        <v>125</v>
      </c>
      <c r="Z23">
        <v>55</v>
      </c>
      <c r="AA23" t="s">
        <v>125</v>
      </c>
      <c r="AE23" s="33" t="s">
        <v>116</v>
      </c>
      <c r="AF23" t="s">
        <v>125</v>
      </c>
      <c r="AJ23" t="s">
        <v>125</v>
      </c>
      <c r="AK23" s="39">
        <f>SUM(C23,H23,M23,R23,W23,AB23,AG23)</f>
        <v>0</v>
      </c>
      <c r="AL23" s="38">
        <f>SUM(D23,I23,N23,S23,X23,AC23,AH23)</f>
        <v>0</v>
      </c>
      <c r="AM23">
        <f>SUM(AN71)</f>
        <v>0</v>
      </c>
      <c r="AN23" s="19"/>
      <c r="AO23" s="12">
        <v>0.24</v>
      </c>
      <c r="AP23" s="6">
        <f>SUM(Table735679109[[#This Row],[Net Taxable Fuel (Gallons)]]*Table735679109[[#This Row],[Tax Rate]])</f>
        <v>0</v>
      </c>
    </row>
    <row r="24" spans="1:42" x14ac:dyDescent="0.15">
      <c r="A24">
        <v>2013</v>
      </c>
      <c r="B24" t="s">
        <v>126</v>
      </c>
      <c r="C24">
        <v>0</v>
      </c>
      <c r="D24">
        <v>0</v>
      </c>
      <c r="F24">
        <v>2015</v>
      </c>
      <c r="G24" t="s">
        <v>126</v>
      </c>
      <c r="H24">
        <v>0</v>
      </c>
      <c r="I24">
        <v>0</v>
      </c>
      <c r="K24">
        <v>2017</v>
      </c>
      <c r="L24" t="s">
        <v>126</v>
      </c>
      <c r="P24">
        <v>2019</v>
      </c>
      <c r="Q24" t="s">
        <v>126</v>
      </c>
      <c r="U24">
        <v>2016</v>
      </c>
      <c r="V24" t="s">
        <v>126</v>
      </c>
      <c r="Z24">
        <v>55</v>
      </c>
      <c r="AA24" t="s">
        <v>126</v>
      </c>
      <c r="AE24" s="33" t="s">
        <v>116</v>
      </c>
      <c r="AF24" t="s">
        <v>126</v>
      </c>
      <c r="AJ24" t="s">
        <v>126</v>
      </c>
      <c r="AK24" s="39">
        <f>SUM(C24,H24,M24,R24,W24,AB24,AG24)</f>
        <v>0</v>
      </c>
      <c r="AL24" s="38">
        <f>SUM(D24,I24,N24,S24,X24,AC24,AH24)</f>
        <v>0</v>
      </c>
      <c r="AM24">
        <f>SUM(AN72)</f>
        <v>0</v>
      </c>
      <c r="AN24" s="19"/>
      <c r="AO24" s="12">
        <v>0.46750000000000003</v>
      </c>
      <c r="AP24" s="6">
        <f>SUM(Table735679109[[#This Row],[Net Taxable Fuel (Gallons)]]*Table735679109[[#This Row],[Tax Rate]])</f>
        <v>0</v>
      </c>
    </row>
    <row r="25" spans="1:42" x14ac:dyDescent="0.15">
      <c r="A25">
        <v>2013</v>
      </c>
      <c r="B25" t="s">
        <v>127</v>
      </c>
      <c r="C25">
        <v>0</v>
      </c>
      <c r="D25">
        <v>0</v>
      </c>
      <c r="F25">
        <v>2015</v>
      </c>
      <c r="G25" t="s">
        <v>127</v>
      </c>
      <c r="H25">
        <v>0</v>
      </c>
      <c r="I25">
        <v>0</v>
      </c>
      <c r="K25">
        <v>2017</v>
      </c>
      <c r="L25" t="s">
        <v>127</v>
      </c>
      <c r="P25">
        <v>2019</v>
      </c>
      <c r="Q25" t="s">
        <v>127</v>
      </c>
      <c r="U25">
        <v>2016</v>
      </c>
      <c r="V25" t="s">
        <v>127</v>
      </c>
      <c r="Z25">
        <v>55</v>
      </c>
      <c r="AA25" t="s">
        <v>127</v>
      </c>
      <c r="AE25" s="33" t="s">
        <v>116</v>
      </c>
      <c r="AF25" t="s">
        <v>127</v>
      </c>
      <c r="AJ25" t="s">
        <v>127</v>
      </c>
      <c r="AK25" s="39">
        <f>SUM(C25,H25,M25,R25,W25,AB25,AG25)</f>
        <v>0</v>
      </c>
      <c r="AL25" s="38">
        <f>SUM(D25,I25,N25,S25,X25,AC25,AH25)</f>
        <v>0</v>
      </c>
      <c r="AM25">
        <f>SUM(AN73)</f>
        <v>0</v>
      </c>
      <c r="AN25" s="19"/>
      <c r="AO25" s="12">
        <v>0.312</v>
      </c>
      <c r="AP25" s="6">
        <f>SUM(Table735679109[[#This Row],[Net Taxable Fuel (Gallons)]]*Table735679109[[#This Row],[Tax Rate]])</f>
        <v>0</v>
      </c>
    </row>
    <row r="26" spans="1:42" x14ac:dyDescent="0.15">
      <c r="A26">
        <v>2013</v>
      </c>
      <c r="B26" t="s">
        <v>128</v>
      </c>
      <c r="C26">
        <v>0</v>
      </c>
      <c r="D26">
        <v>0</v>
      </c>
      <c r="F26">
        <v>2015</v>
      </c>
      <c r="G26" t="s">
        <v>128</v>
      </c>
      <c r="H26">
        <v>0</v>
      </c>
      <c r="I26">
        <v>0</v>
      </c>
      <c r="K26">
        <v>2017</v>
      </c>
      <c r="L26" t="s">
        <v>128</v>
      </c>
      <c r="P26">
        <v>2019</v>
      </c>
      <c r="Q26" t="s">
        <v>128</v>
      </c>
      <c r="U26">
        <v>2016</v>
      </c>
      <c r="V26" t="s">
        <v>128</v>
      </c>
      <c r="Z26">
        <v>55</v>
      </c>
      <c r="AA26" t="s">
        <v>128</v>
      </c>
      <c r="AE26" s="33" t="s">
        <v>116</v>
      </c>
      <c r="AF26" t="s">
        <v>128</v>
      </c>
      <c r="AJ26" t="s">
        <v>128</v>
      </c>
      <c r="AK26" s="39">
        <f>SUM(C26,H26,M26,R26,W26,AB26,AG26)</f>
        <v>0</v>
      </c>
      <c r="AL26" s="38">
        <f>SUM(D26,I26,N26,S26,X26,AC26,AH26)</f>
        <v>0</v>
      </c>
      <c r="AM26">
        <f>SUM(AN73)</f>
        <v>0</v>
      </c>
      <c r="AN26" s="19"/>
      <c r="AO26" s="12">
        <v>0.52400000000000002</v>
      </c>
      <c r="AP26" s="6">
        <f>SUM(Table735679109[[#This Row],[Net Taxable Fuel (Gallons)]]*Table735679109[[#This Row],[Tax Rate]])</f>
        <v>0</v>
      </c>
    </row>
    <row r="27" spans="1:42" x14ac:dyDescent="0.15">
      <c r="A27">
        <v>2013</v>
      </c>
      <c r="B27" t="s">
        <v>55</v>
      </c>
      <c r="C27">
        <v>0</v>
      </c>
      <c r="D27">
        <v>0</v>
      </c>
      <c r="F27">
        <v>2015</v>
      </c>
      <c r="G27" t="s">
        <v>55</v>
      </c>
      <c r="H27">
        <v>0</v>
      </c>
      <c r="I27">
        <v>0</v>
      </c>
      <c r="K27">
        <v>2017</v>
      </c>
      <c r="L27" t="s">
        <v>55</v>
      </c>
      <c r="M27">
        <v>247</v>
      </c>
      <c r="P27">
        <v>2019</v>
      </c>
      <c r="Q27" t="s">
        <v>55</v>
      </c>
      <c r="R27">
        <v>0</v>
      </c>
      <c r="U27">
        <v>2016</v>
      </c>
      <c r="V27" t="s">
        <v>55</v>
      </c>
      <c r="Z27">
        <v>55</v>
      </c>
      <c r="AA27" t="s">
        <v>55</v>
      </c>
      <c r="AB27">
        <v>0</v>
      </c>
      <c r="AE27" s="33" t="s">
        <v>116</v>
      </c>
      <c r="AF27" t="s">
        <v>55</v>
      </c>
      <c r="AJ27" t="s">
        <v>55</v>
      </c>
      <c r="AK27" s="39">
        <f>SUM(C27,H27,M27,R27,W27,AB27,AG27)</f>
        <v>247</v>
      </c>
      <c r="AL27" s="38">
        <f>SUM(D27,I27,N27,S27,X27,AC27,AH27)</f>
        <v>0</v>
      </c>
      <c r="AM27" s="15">
        <f>SUM(Table735679109[[#This Row],[MILES6]]/AN54)</f>
        <v>37.001441418355661</v>
      </c>
      <c r="AN27" s="19">
        <f>SUM(Table735679109[[#This Row],[Tax Paid Fuel (Gallons)]]-Table735679109[[#This Row],[Taxable Fuel (Gallons)]])</f>
        <v>-37.001441418355661</v>
      </c>
      <c r="AO27" s="12">
        <v>0.32600000000000001</v>
      </c>
      <c r="AP27" s="6">
        <f>SUM(Table735679109[[#This Row],[Net Taxable Fuel (Gallons)]]*Table735679109[[#This Row],[Tax Rate]])</f>
        <v>-12.062469902383945</v>
      </c>
    </row>
    <row r="28" spans="1:42" x14ac:dyDescent="0.15">
      <c r="A28">
        <v>2013</v>
      </c>
      <c r="B28" t="s">
        <v>27</v>
      </c>
      <c r="C28">
        <v>569</v>
      </c>
      <c r="D28">
        <v>0</v>
      </c>
      <c r="F28">
        <v>2015</v>
      </c>
      <c r="G28" t="s">
        <v>27</v>
      </c>
      <c r="H28">
        <v>1507</v>
      </c>
      <c r="I28">
        <v>0</v>
      </c>
      <c r="K28">
        <v>2017</v>
      </c>
      <c r="L28" t="s">
        <v>27</v>
      </c>
      <c r="M28">
        <v>372</v>
      </c>
      <c r="N28">
        <v>155</v>
      </c>
      <c r="P28">
        <v>2019</v>
      </c>
      <c r="Q28" t="s">
        <v>27</v>
      </c>
      <c r="R28">
        <v>0</v>
      </c>
      <c r="U28">
        <v>2016</v>
      </c>
      <c r="V28" t="s">
        <v>27</v>
      </c>
      <c r="Z28">
        <v>55</v>
      </c>
      <c r="AA28" t="s">
        <v>27</v>
      </c>
      <c r="AB28">
        <v>0</v>
      </c>
      <c r="AE28" s="33" t="s">
        <v>116</v>
      </c>
      <c r="AF28" t="s">
        <v>27</v>
      </c>
      <c r="AJ28" t="s">
        <v>27</v>
      </c>
      <c r="AK28" s="39">
        <f>SUM(C28,H28,M28,R28,W28,AB28,AG28)</f>
        <v>2448</v>
      </c>
      <c r="AL28" s="38">
        <f>SUM(D28,I28,N28,S28,X28,AC28,AH28)</f>
        <v>155</v>
      </c>
      <c r="AM28" s="15">
        <f>SUM(Table735679109[[#This Row],[MILES6]]/AN54)</f>
        <v>366.71873923941155</v>
      </c>
      <c r="AN28" s="19">
        <f>SUM(Table735679109[[#This Row],[Tax Paid Fuel (Gallons)]]-AM28)</f>
        <v>-211.71873923941155</v>
      </c>
      <c r="AO28" s="12">
        <v>0.29499999999999998</v>
      </c>
      <c r="AP28" s="6">
        <f>SUM(Table735679109[[#This Row],[Net Taxable Fuel (Gallons)]]*Table735679109[[#This Row],[Tax Rate]])</f>
        <v>-62.457028075626404</v>
      </c>
    </row>
    <row r="29" spans="1:42" x14ac:dyDescent="0.15">
      <c r="A29">
        <v>2013</v>
      </c>
      <c r="B29" s="7" t="s">
        <v>28</v>
      </c>
      <c r="C29">
        <v>0</v>
      </c>
      <c r="D29">
        <v>0</v>
      </c>
      <c r="F29">
        <v>2015</v>
      </c>
      <c r="G29" s="7" t="s">
        <v>28</v>
      </c>
      <c r="H29">
        <v>223</v>
      </c>
      <c r="I29">
        <v>0</v>
      </c>
      <c r="K29">
        <v>2017</v>
      </c>
      <c r="L29" s="7" t="s">
        <v>28</v>
      </c>
      <c r="M29">
        <v>154</v>
      </c>
      <c r="P29">
        <v>2019</v>
      </c>
      <c r="Q29" s="7" t="s">
        <v>28</v>
      </c>
      <c r="R29">
        <v>0</v>
      </c>
      <c r="U29">
        <v>2016</v>
      </c>
      <c r="V29" s="7" t="s">
        <v>28</v>
      </c>
      <c r="Z29">
        <v>55</v>
      </c>
      <c r="AA29" s="7" t="s">
        <v>28</v>
      </c>
      <c r="AB29">
        <v>0</v>
      </c>
      <c r="AE29" s="33" t="s">
        <v>116</v>
      </c>
      <c r="AF29" s="7" t="s">
        <v>28</v>
      </c>
      <c r="AJ29" t="s">
        <v>28</v>
      </c>
      <c r="AK29" s="39">
        <f>SUM(C29,H29,M29,R29,W29,AB29,AG29)</f>
        <v>377</v>
      </c>
      <c r="AL29" s="38">
        <f>SUM(D29,I29,N29,S29,X29,AC29,AH29)</f>
        <v>0</v>
      </c>
      <c r="AM29" s="15">
        <f>SUM(Table735679109[[#This Row],[MILES6]]/AN54)</f>
        <v>56.475884270121796</v>
      </c>
      <c r="AN29" s="19">
        <f>SUM(Table735679109[[#This Row],[Tax Paid Fuel (Gallons)]]-Table735679109[[#This Row],[Taxable Fuel (Gallons)]])</f>
        <v>-56.475884270121796</v>
      </c>
      <c r="AO29" s="12">
        <v>0.21</v>
      </c>
      <c r="AP29" s="6">
        <f>SUM(Table735679109[[#This Row],[Net Taxable Fuel (Gallons)]]*Table735679109[[#This Row],[Tax Rate]])</f>
        <v>-11.859935696725577</v>
      </c>
    </row>
    <row r="30" spans="1:42" x14ac:dyDescent="0.15">
      <c r="A30">
        <v>2013</v>
      </c>
      <c r="B30" t="s">
        <v>4</v>
      </c>
      <c r="C30">
        <v>0</v>
      </c>
      <c r="D30">
        <v>0</v>
      </c>
      <c r="F30">
        <v>2015</v>
      </c>
      <c r="G30" t="s">
        <v>4</v>
      </c>
      <c r="H30">
        <v>0</v>
      </c>
      <c r="I30">
        <v>0</v>
      </c>
      <c r="K30">
        <v>2017</v>
      </c>
      <c r="L30" t="s">
        <v>4</v>
      </c>
      <c r="M30">
        <v>0</v>
      </c>
      <c r="P30">
        <v>2019</v>
      </c>
      <c r="Q30" t="s">
        <v>4</v>
      </c>
      <c r="R30">
        <v>0</v>
      </c>
      <c r="U30">
        <v>2016</v>
      </c>
      <c r="V30" t="s">
        <v>4</v>
      </c>
      <c r="Z30">
        <v>55</v>
      </c>
      <c r="AA30" t="s">
        <v>4</v>
      </c>
      <c r="AB30">
        <v>0</v>
      </c>
      <c r="AE30" s="33" t="s">
        <v>116</v>
      </c>
      <c r="AF30" t="s">
        <v>4</v>
      </c>
      <c r="AJ30" t="s">
        <v>4</v>
      </c>
      <c r="AK30" s="39">
        <f>SUM(C30,H30,M30,R30,W30,AB30,AG30)</f>
        <v>0</v>
      </c>
      <c r="AL30" s="38">
        <f>SUM(D30,I30,N30,S30,X30,AC30,AH30)</f>
        <v>0</v>
      </c>
      <c r="AM30" s="15">
        <f>SUM(Table735679109[[#This Row],[MILES6]]/AN54)</f>
        <v>0</v>
      </c>
      <c r="AN30" s="19">
        <f>SUM(Table735679109[[#This Row],[Tax Paid Fuel (Gallons)]]-Table735679109[[#This Row],[Taxable Fuel (Gallons)]])</f>
        <v>0</v>
      </c>
      <c r="AO30" s="12">
        <v>0.29749999999999999</v>
      </c>
      <c r="AP30" s="6">
        <f>SUM(Table735679109[[#This Row],[Net Taxable Fuel (Gallons)]]*Table735679109[[#This Row],[Tax Rate]])</f>
        <v>0</v>
      </c>
    </row>
    <row r="31" spans="1:42" x14ac:dyDescent="0.15">
      <c r="A31">
        <v>2013</v>
      </c>
      <c r="B31" t="s">
        <v>33</v>
      </c>
      <c r="C31">
        <v>0</v>
      </c>
      <c r="D31">
        <v>0</v>
      </c>
      <c r="F31">
        <v>2015</v>
      </c>
      <c r="G31" t="s">
        <v>33</v>
      </c>
      <c r="H31">
        <v>0</v>
      </c>
      <c r="I31">
        <v>0</v>
      </c>
      <c r="K31">
        <v>2017</v>
      </c>
      <c r="L31" t="s">
        <v>33</v>
      </c>
      <c r="M31">
        <v>0</v>
      </c>
      <c r="P31">
        <v>2019</v>
      </c>
      <c r="Q31" t="s">
        <v>33</v>
      </c>
      <c r="R31">
        <v>0</v>
      </c>
      <c r="U31">
        <v>2016</v>
      </c>
      <c r="V31" t="s">
        <v>33</v>
      </c>
      <c r="Z31">
        <v>55</v>
      </c>
      <c r="AA31" t="s">
        <v>33</v>
      </c>
      <c r="AB31">
        <v>0</v>
      </c>
      <c r="AE31" s="33" t="s">
        <v>116</v>
      </c>
      <c r="AF31" t="s">
        <v>33</v>
      </c>
      <c r="AJ31" t="s">
        <v>33</v>
      </c>
      <c r="AK31" s="39">
        <f>SUM(C31,H31,M31,R31,W31,AB31,AG31)</f>
        <v>0</v>
      </c>
      <c r="AL31" s="38">
        <f>SUM(D31,I31,N31,S31,X31,AC31,AH31)</f>
        <v>0</v>
      </c>
      <c r="AM31" s="15">
        <f>SUM(Table735679109[[#This Row],[MILES6]]/AN54)</f>
        <v>0</v>
      </c>
      <c r="AN31" s="19">
        <f>SUM(Table735679109[[#This Row],[Tax Paid Fuel (Gallons)]]-AM31)</f>
        <v>0</v>
      </c>
      <c r="AO31" s="12">
        <v>0.41</v>
      </c>
      <c r="AP31" s="6">
        <f>SUM(Table735679109[[#This Row],[Net Taxable Fuel (Gallons)]]*Table735679109[[#This Row],[Tax Rate]])</f>
        <v>0</v>
      </c>
    </row>
    <row r="32" spans="1:42" x14ac:dyDescent="0.15">
      <c r="A32">
        <v>2013</v>
      </c>
      <c r="B32" t="s">
        <v>12</v>
      </c>
      <c r="C32">
        <v>0</v>
      </c>
      <c r="D32">
        <v>0</v>
      </c>
      <c r="F32">
        <v>2015</v>
      </c>
      <c r="G32" t="s">
        <v>12</v>
      </c>
      <c r="H32">
        <v>0</v>
      </c>
      <c r="I32">
        <v>0</v>
      </c>
      <c r="K32">
        <v>2017</v>
      </c>
      <c r="L32" t="s">
        <v>12</v>
      </c>
      <c r="M32">
        <v>0</v>
      </c>
      <c r="N32">
        <v>0</v>
      </c>
      <c r="P32">
        <v>2019</v>
      </c>
      <c r="Q32" t="s">
        <v>12</v>
      </c>
      <c r="R32">
        <v>0</v>
      </c>
      <c r="U32">
        <v>2016</v>
      </c>
      <c r="V32" t="s">
        <v>12</v>
      </c>
      <c r="Z32">
        <v>55</v>
      </c>
      <c r="AA32" t="s">
        <v>12</v>
      </c>
      <c r="AB32">
        <v>0</v>
      </c>
      <c r="AE32" s="33" t="s">
        <v>116</v>
      </c>
      <c r="AF32" t="s">
        <v>12</v>
      </c>
      <c r="AJ32" t="s">
        <v>12</v>
      </c>
      <c r="AK32" s="39">
        <f>SUM(C32,H32,M32,R32,W32,AB32,AG32)</f>
        <v>0</v>
      </c>
      <c r="AL32" s="38">
        <f>SUM(D32,I32,N32,S32,X32,AC32,AH32)</f>
        <v>0</v>
      </c>
      <c r="AM32" s="15">
        <f>SUM(Table735679109[[#This Row],[MILES6]]/AN54)</f>
        <v>0</v>
      </c>
      <c r="AN32" s="19">
        <f>SUM(Table735679109[[#This Row],[Tax Paid Fuel (Gallons)]]-Table735679109[[#This Row],[Taxable Fuel (Gallons)]])</f>
        <v>0</v>
      </c>
      <c r="AO32" s="12">
        <v>0.23</v>
      </c>
      <c r="AP32" s="6">
        <f>SUM(Table735679109[[#This Row],[Net Taxable Fuel (Gallons)]]*Table735679109[[#This Row],[Tax Rate]])</f>
        <v>0</v>
      </c>
    </row>
    <row r="33" spans="1:42" x14ac:dyDescent="0.15">
      <c r="A33">
        <v>2013</v>
      </c>
      <c r="B33" t="s">
        <v>13</v>
      </c>
      <c r="C33">
        <v>2292</v>
      </c>
      <c r="D33">
        <v>516</v>
      </c>
      <c r="F33">
        <v>2015</v>
      </c>
      <c r="G33" t="s">
        <v>13</v>
      </c>
      <c r="H33">
        <v>1820</v>
      </c>
      <c r="I33">
        <v>424</v>
      </c>
      <c r="K33">
        <v>2017</v>
      </c>
      <c r="L33" t="s">
        <v>13</v>
      </c>
      <c r="M33">
        <v>2056</v>
      </c>
      <c r="N33">
        <v>448</v>
      </c>
      <c r="P33">
        <v>2019</v>
      </c>
      <c r="Q33" t="s">
        <v>13</v>
      </c>
      <c r="R33">
        <v>622</v>
      </c>
      <c r="S33">
        <v>238</v>
      </c>
      <c r="U33">
        <v>2016</v>
      </c>
      <c r="V33" t="s">
        <v>13</v>
      </c>
      <c r="Z33">
        <v>55</v>
      </c>
      <c r="AA33" t="s">
        <v>13</v>
      </c>
      <c r="AB33">
        <v>0</v>
      </c>
      <c r="AE33" s="33" t="s">
        <v>116</v>
      </c>
      <c r="AF33" t="s">
        <v>13</v>
      </c>
      <c r="AJ33" t="s">
        <v>13</v>
      </c>
      <c r="AK33" s="39">
        <f>SUM(C33,H33,M33,R33,W33,AB33,AG33)</f>
        <v>6790</v>
      </c>
      <c r="AL33" s="38">
        <f>SUM(D33,I33,N33,S33,X33,AC33,AH33)</f>
        <v>1626</v>
      </c>
      <c r="AM33" s="15">
        <f>SUM(Table735679109[[#This Row],[MILES6]]/AN54)</f>
        <v>1017.1651304884006</v>
      </c>
      <c r="AN33" s="19">
        <f>SUM(Table735679109[[#This Row],[Tax Paid Fuel (Gallons)]]-Table735679109[[#This Row],[Taxable Fuel (Gallons)]])</f>
        <v>608.83486951159944</v>
      </c>
      <c r="AO33" s="12">
        <v>0.318</v>
      </c>
      <c r="AP33" s="6">
        <f>SUM(Table735679109[[#This Row],[Net Taxable Fuel (Gallons)]]*Table735679109[[#This Row],[Tax Rate]])</f>
        <v>193.60948850468861</v>
      </c>
    </row>
    <row r="34" spans="1:42" x14ac:dyDescent="0.15">
      <c r="A34">
        <v>2013</v>
      </c>
      <c r="B34" t="s">
        <v>129</v>
      </c>
      <c r="C34">
        <v>0</v>
      </c>
      <c r="D34">
        <v>0</v>
      </c>
      <c r="F34">
        <v>2015</v>
      </c>
      <c r="G34" t="s">
        <v>129</v>
      </c>
      <c r="H34">
        <v>0</v>
      </c>
      <c r="I34">
        <v>0</v>
      </c>
      <c r="K34">
        <v>2017</v>
      </c>
      <c r="L34" t="s">
        <v>129</v>
      </c>
      <c r="P34">
        <v>2019</v>
      </c>
      <c r="Q34" t="s">
        <v>129</v>
      </c>
      <c r="U34">
        <v>2016</v>
      </c>
      <c r="V34" t="s">
        <v>129</v>
      </c>
      <c r="Z34">
        <v>55</v>
      </c>
      <c r="AA34" t="s">
        <v>129</v>
      </c>
      <c r="AE34" s="33" t="s">
        <v>116</v>
      </c>
      <c r="AF34" t="s">
        <v>129</v>
      </c>
      <c r="AJ34" t="s">
        <v>129</v>
      </c>
      <c r="AK34" s="39">
        <f>SUM(C34,H34,M34,R34,W34,AB34,AG34)</f>
        <v>0</v>
      </c>
      <c r="AL34" s="38">
        <f>SUM(D34,I34,N34,S34,X34,AC34,AH34)</f>
        <v>0</v>
      </c>
      <c r="AM34">
        <f>SUM(AN82)</f>
        <v>0</v>
      </c>
      <c r="AN34" s="19"/>
      <c r="AO34" s="12">
        <v>0.222</v>
      </c>
      <c r="AP34" s="6">
        <f>SUM(Table735679109[[#This Row],[Net Taxable Fuel (Gallons)]]*Table735679109[[#This Row],[Tax Rate]])</f>
        <v>0</v>
      </c>
    </row>
    <row r="35" spans="1:42" x14ac:dyDescent="0.15">
      <c r="A35">
        <v>2013</v>
      </c>
      <c r="B35" t="s">
        <v>14</v>
      </c>
      <c r="C35">
        <v>781</v>
      </c>
      <c r="D35">
        <v>170</v>
      </c>
      <c r="F35">
        <v>2015</v>
      </c>
      <c r="G35" t="s">
        <v>14</v>
      </c>
      <c r="H35">
        <v>1697</v>
      </c>
      <c r="I35">
        <v>0</v>
      </c>
      <c r="K35">
        <v>2017</v>
      </c>
      <c r="L35" t="s">
        <v>14</v>
      </c>
      <c r="M35">
        <v>2264</v>
      </c>
      <c r="N35">
        <v>645</v>
      </c>
      <c r="P35">
        <v>2019</v>
      </c>
      <c r="Q35" t="s">
        <v>14</v>
      </c>
      <c r="R35">
        <v>513</v>
      </c>
      <c r="U35">
        <v>2016</v>
      </c>
      <c r="V35" t="s">
        <v>14</v>
      </c>
      <c r="Z35">
        <v>55</v>
      </c>
      <c r="AA35" t="s">
        <v>14</v>
      </c>
      <c r="AB35">
        <v>390</v>
      </c>
      <c r="AE35" s="33" t="s">
        <v>116</v>
      </c>
      <c r="AF35" t="s">
        <v>14</v>
      </c>
      <c r="AJ35" t="s">
        <v>14</v>
      </c>
      <c r="AK35" s="39">
        <f>SUM(C35,H35,M35,R35,W35,AB35,AG35)</f>
        <v>5645</v>
      </c>
      <c r="AL35" s="38">
        <f>SUM(D35,I35,N35,S35,X35,AC35,AH35)</f>
        <v>815</v>
      </c>
      <c r="AM35" s="15">
        <f>SUM(Table735679109[[#This Row],[MILES6]]/AN54)</f>
        <v>845.64022998630651</v>
      </c>
      <c r="AN35" s="19">
        <f>SUM(Table735679109[[#This Row],[Tax Paid Fuel (Gallons)]]-Table735679109[[#This Row],[Taxable Fuel (Gallons)]])</f>
        <v>-30.640229986306508</v>
      </c>
      <c r="AO35" s="12">
        <v>0.21</v>
      </c>
      <c r="AP35" s="6">
        <f>SUM(Table735679109[[#This Row],[Net Taxable Fuel (Gallons)]]*Table735679109[[#This Row],[Tax Rate]])</f>
        <v>-6.4344482971243666</v>
      </c>
    </row>
    <row r="36" spans="1:42" x14ac:dyDescent="0.15">
      <c r="A36">
        <v>2013</v>
      </c>
      <c r="B36" t="s">
        <v>5</v>
      </c>
      <c r="C36">
        <v>3313</v>
      </c>
      <c r="D36">
        <v>989</v>
      </c>
      <c r="F36">
        <v>2015</v>
      </c>
      <c r="G36" t="s">
        <v>5</v>
      </c>
      <c r="H36">
        <v>2529</v>
      </c>
      <c r="I36">
        <v>507</v>
      </c>
      <c r="K36">
        <v>2017</v>
      </c>
      <c r="L36" t="s">
        <v>5</v>
      </c>
      <c r="M36">
        <v>2932</v>
      </c>
      <c r="N36">
        <v>673</v>
      </c>
      <c r="P36">
        <v>2019</v>
      </c>
      <c r="Q36" t="s">
        <v>5</v>
      </c>
      <c r="R36">
        <v>6482</v>
      </c>
      <c r="S36">
        <v>570</v>
      </c>
      <c r="U36">
        <v>2016</v>
      </c>
      <c r="V36" t="s">
        <v>5</v>
      </c>
      <c r="Z36">
        <v>55</v>
      </c>
      <c r="AA36" t="s">
        <v>5</v>
      </c>
      <c r="AB36">
        <v>420</v>
      </c>
      <c r="AC36">
        <v>110</v>
      </c>
      <c r="AE36" s="33" t="s">
        <v>116</v>
      </c>
      <c r="AF36" t="s">
        <v>5</v>
      </c>
      <c r="AJ36" t="s">
        <v>5</v>
      </c>
      <c r="AK36" s="39">
        <f>SUM(C36,H36,M36,R36,W36,AB36,AG36)</f>
        <v>15676</v>
      </c>
      <c r="AL36" s="38">
        <f>SUM(D36,I36,N36,S36,X36,AC36,AH36)</f>
        <v>2849</v>
      </c>
      <c r="AM36" s="15">
        <f>SUM(Table735679109[[#This Row],[MILES6]]/AN54)</f>
        <v>2348.318201109892</v>
      </c>
      <c r="AN36" s="19">
        <f>SUM(Table735679109[[#This Row],[Tax Paid Fuel (Gallons)]]-Table735679109[[#This Row],[Taxable Fuel (Gallons)]])</f>
        <v>500.68179889010798</v>
      </c>
      <c r="AO36" s="12">
        <v>0.27</v>
      </c>
      <c r="AP36" s="6">
        <f>SUM(Table735679109[[#This Row],[Net Taxable Fuel (Gallons)]]*Table735679109[[#This Row],[Tax Rate]])</f>
        <v>135.18408570032918</v>
      </c>
    </row>
    <row r="37" spans="1:42" x14ac:dyDescent="0.15">
      <c r="A37">
        <v>2013</v>
      </c>
      <c r="B37" t="s">
        <v>130</v>
      </c>
      <c r="C37">
        <v>0</v>
      </c>
      <c r="D37">
        <v>0</v>
      </c>
      <c r="F37">
        <v>2015</v>
      </c>
      <c r="G37" t="s">
        <v>130</v>
      </c>
      <c r="H37">
        <v>0</v>
      </c>
      <c r="I37">
        <v>0</v>
      </c>
      <c r="K37">
        <v>2017</v>
      </c>
      <c r="L37" t="s">
        <v>130</v>
      </c>
      <c r="P37">
        <v>2019</v>
      </c>
      <c r="Q37" t="s">
        <v>130</v>
      </c>
      <c r="U37">
        <v>2016</v>
      </c>
      <c r="V37" t="s">
        <v>130</v>
      </c>
      <c r="Z37">
        <v>55</v>
      </c>
      <c r="AA37" t="s">
        <v>130</v>
      </c>
      <c r="AE37" s="33" t="s">
        <v>116</v>
      </c>
      <c r="AF37" t="s">
        <v>130</v>
      </c>
      <c r="AJ37" t="s">
        <v>130</v>
      </c>
      <c r="AK37" s="40">
        <f>SUM(C37,H37,M37,R37,W37,AB37,AG37)</f>
        <v>0</v>
      </c>
      <c r="AL37" s="41"/>
      <c r="AO37" s="12">
        <v>0.3805</v>
      </c>
      <c r="AP37" s="6">
        <f>SUM(Table735679109[[#This Row],[Net Taxable Fuel (Gallons)]]*Table735679109[[#This Row],[Tax Rate]])</f>
        <v>0</v>
      </c>
    </row>
    <row r="38" spans="1:42" x14ac:dyDescent="0.15">
      <c r="A38">
        <v>2013</v>
      </c>
      <c r="B38" t="s">
        <v>29</v>
      </c>
      <c r="C38">
        <v>0</v>
      </c>
      <c r="D38">
        <v>0</v>
      </c>
      <c r="F38">
        <v>2015</v>
      </c>
      <c r="G38" t="s">
        <v>29</v>
      </c>
      <c r="H38">
        <v>523</v>
      </c>
      <c r="I38">
        <v>201</v>
      </c>
      <c r="K38">
        <v>2017</v>
      </c>
      <c r="L38" t="s">
        <v>29</v>
      </c>
      <c r="M38">
        <v>747</v>
      </c>
      <c r="N38">
        <v>0</v>
      </c>
      <c r="P38">
        <v>2019</v>
      </c>
      <c r="Q38" t="s">
        <v>29</v>
      </c>
      <c r="R38">
        <v>0</v>
      </c>
      <c r="U38">
        <v>2016</v>
      </c>
      <c r="V38" t="s">
        <v>29</v>
      </c>
      <c r="Z38">
        <v>55</v>
      </c>
      <c r="AA38" t="s">
        <v>29</v>
      </c>
      <c r="AB38">
        <v>0</v>
      </c>
      <c r="AE38" s="33" t="s">
        <v>116</v>
      </c>
      <c r="AF38" t="s">
        <v>29</v>
      </c>
      <c r="AJ38" t="s">
        <v>29</v>
      </c>
      <c r="AK38" s="39">
        <f>SUM(C38,H38,M38,R38,W38,AB38,AG38)</f>
        <v>1270</v>
      </c>
      <c r="AL38" s="38">
        <f>SUM(D38,I38,N38,S38,X38,AC38,AH38)</f>
        <v>201</v>
      </c>
      <c r="AM38" s="15">
        <f>SUM(Table735679109[[#This Row],[MILES6]]/AN54)</f>
        <v>190.25032632109995</v>
      </c>
      <c r="AN38" s="19">
        <f>SUM(Table735679109[[#This Row],[Tax Paid Fuel (Gallons)]]-Table735679109[[#This Row],[Taxable Fuel (Gallons)]])</f>
        <v>10.749673678900052</v>
      </c>
      <c r="AO38" s="12">
        <v>0.47</v>
      </c>
      <c r="AP38" s="6">
        <f>SUM(Table735679109[[#This Row],[Net Taxable Fuel (Gallons)]]*Table735679109[[#This Row],[Tax Rate]])</f>
        <v>5.0523466290830239</v>
      </c>
    </row>
    <row r="39" spans="1:42" x14ac:dyDescent="0.15">
      <c r="A39">
        <v>2013</v>
      </c>
      <c r="B39" t="s">
        <v>15</v>
      </c>
      <c r="C39">
        <v>0</v>
      </c>
      <c r="D39">
        <v>0</v>
      </c>
      <c r="F39">
        <v>2015</v>
      </c>
      <c r="G39" t="s">
        <v>15</v>
      </c>
      <c r="H39">
        <v>693</v>
      </c>
      <c r="I39">
        <v>0</v>
      </c>
      <c r="K39">
        <v>2017</v>
      </c>
      <c r="L39" t="s">
        <v>15</v>
      </c>
      <c r="M39">
        <v>643</v>
      </c>
      <c r="N39">
        <v>179</v>
      </c>
      <c r="P39">
        <v>2019</v>
      </c>
      <c r="Q39" t="s">
        <v>15</v>
      </c>
      <c r="R39">
        <v>236</v>
      </c>
      <c r="U39">
        <v>2016</v>
      </c>
      <c r="V39" t="s">
        <v>15</v>
      </c>
      <c r="Z39">
        <v>55</v>
      </c>
      <c r="AA39" t="s">
        <v>15</v>
      </c>
      <c r="AB39">
        <v>0</v>
      </c>
      <c r="AE39" s="33" t="s">
        <v>116</v>
      </c>
      <c r="AF39" t="s">
        <v>15</v>
      </c>
      <c r="AJ39" t="s">
        <v>15</v>
      </c>
      <c r="AK39" s="39">
        <f>SUM(C39,H39,M39,R39,W39,AB39,AG39)</f>
        <v>1572</v>
      </c>
      <c r="AL39" s="38">
        <f>SUM(D39,I39,N39,S39,X39,AC39,AH39)</f>
        <v>179</v>
      </c>
      <c r="AM39" s="15">
        <f>SUM(Table735679109[[#This Row],[MILES6]]/AN54)</f>
        <v>235.49095509981822</v>
      </c>
      <c r="AN39" s="19">
        <f>SUM(Table735679109[[#This Row],[Tax Paid Fuel (Gallons)]]-Table735679109[[#This Row],[Taxable Fuel (Gallons)]])</f>
        <v>-56.490955099818223</v>
      </c>
      <c r="AO39" s="12">
        <v>0.19</v>
      </c>
      <c r="AP39" s="6">
        <f>SUM(Table735679109[[#This Row],[Net Taxable Fuel (Gallons)]]*Table735679109[[#This Row],[Tax Rate]])</f>
        <v>-10.733281468965462</v>
      </c>
    </row>
    <row r="40" spans="1:42" x14ac:dyDescent="0.15">
      <c r="A40">
        <v>2013</v>
      </c>
      <c r="B40" t="s">
        <v>6</v>
      </c>
      <c r="C40">
        <v>1087</v>
      </c>
      <c r="D40">
        <v>218</v>
      </c>
      <c r="F40">
        <v>2015</v>
      </c>
      <c r="G40" t="s">
        <v>6</v>
      </c>
      <c r="H40">
        <v>0</v>
      </c>
      <c r="I40">
        <v>0</v>
      </c>
      <c r="K40">
        <v>2017</v>
      </c>
      <c r="L40" t="s">
        <v>6</v>
      </c>
      <c r="M40">
        <v>1014</v>
      </c>
      <c r="N40">
        <v>262</v>
      </c>
      <c r="P40">
        <v>2019</v>
      </c>
      <c r="Q40" t="s">
        <v>6</v>
      </c>
      <c r="R40">
        <v>594</v>
      </c>
      <c r="S40">
        <v>204</v>
      </c>
      <c r="U40">
        <v>2016</v>
      </c>
      <c r="V40" t="s">
        <v>6</v>
      </c>
      <c r="Z40">
        <v>55</v>
      </c>
      <c r="AA40" t="s">
        <v>6</v>
      </c>
      <c r="AB40">
        <v>228</v>
      </c>
      <c r="AE40" s="33" t="s">
        <v>116</v>
      </c>
      <c r="AF40" t="s">
        <v>6</v>
      </c>
      <c r="AJ40" t="s">
        <v>6</v>
      </c>
      <c r="AK40" s="39">
        <f>SUM(C40,H40,M40,R40,W40,AB40,AG40)</f>
        <v>2923</v>
      </c>
      <c r="AL40" s="38">
        <f>SUM(D40,I40,N40,S40,X40,AC40,AH40)</f>
        <v>684</v>
      </c>
      <c r="AM40" s="15">
        <f>SUM(Table735679109[[#This Row],[MILES6]]/AN54)</f>
        <v>437.87535735163402</v>
      </c>
      <c r="AN40" s="19">
        <f>SUM(Table735679109[[#This Row],[Tax Paid Fuel (Gallons)]]-Table735679109[[#This Row],[Taxable Fuel (Gallons)]])</f>
        <v>246.12464264836598</v>
      </c>
      <c r="AO40" s="12">
        <v>0</v>
      </c>
      <c r="AP40" s="6">
        <f>SUM(Table735679109[[#This Row],[Net Taxable Fuel (Gallons)]]*Table735679109[[#This Row],[Tax Rate]])</f>
        <v>0</v>
      </c>
    </row>
    <row r="41" spans="1:42" x14ac:dyDescent="0.15">
      <c r="A41">
        <v>2013</v>
      </c>
      <c r="B41" t="s">
        <v>120</v>
      </c>
      <c r="C41">
        <v>0</v>
      </c>
      <c r="D41">
        <v>0</v>
      </c>
      <c r="F41">
        <v>2015</v>
      </c>
      <c r="G41" t="s">
        <v>120</v>
      </c>
      <c r="H41">
        <v>134</v>
      </c>
      <c r="I41">
        <v>0</v>
      </c>
      <c r="K41">
        <v>2017</v>
      </c>
      <c r="L41" t="s">
        <v>120</v>
      </c>
      <c r="M41">
        <v>117</v>
      </c>
      <c r="N41">
        <v>0</v>
      </c>
      <c r="P41">
        <v>2019</v>
      </c>
      <c r="Q41" t="s">
        <v>120</v>
      </c>
      <c r="R41">
        <v>0</v>
      </c>
      <c r="U41">
        <v>2016</v>
      </c>
      <c r="V41" t="s">
        <v>120</v>
      </c>
      <c r="Z41">
        <v>55</v>
      </c>
      <c r="AA41" t="s">
        <v>120</v>
      </c>
      <c r="AB41">
        <v>0</v>
      </c>
      <c r="AE41" s="33" t="s">
        <v>116</v>
      </c>
      <c r="AF41" t="s">
        <v>120</v>
      </c>
      <c r="AJ41" t="s">
        <v>120</v>
      </c>
      <c r="AK41" s="39">
        <f>SUM(C41,H41,M41,R41,W41,AB41,AG41)</f>
        <v>251</v>
      </c>
      <c r="AL41" s="38">
        <f>SUM(D41,I41,N41,S41,X41,AC41,AH41)</f>
        <v>0</v>
      </c>
      <c r="AM41" s="15">
        <f>SUM(Table735679109[[#This Row],[MILES6]]/AN54)</f>
        <v>37.600655044563851</v>
      </c>
      <c r="AN41" s="19">
        <f>SUM(Table735679109[[#This Row],[Tax Paid Fuel (Gallons)]]-Table735679109[[#This Row],[Taxable Fuel (Gallons)]])</f>
        <v>-37.600655044563851</v>
      </c>
      <c r="AO41" s="12">
        <v>0.74099999999999999</v>
      </c>
      <c r="AP41" s="6">
        <f>SUM(Table735679109[[#This Row],[Net Taxable Fuel (Gallons)]]*Table735679109[[#This Row],[Tax Rate]])</f>
        <v>-27.862085388021814</v>
      </c>
    </row>
    <row r="42" spans="1:42" x14ac:dyDescent="0.15">
      <c r="A42">
        <v>2013</v>
      </c>
      <c r="B42" t="s">
        <v>131</v>
      </c>
      <c r="F42">
        <v>2015</v>
      </c>
      <c r="G42" t="s">
        <v>131</v>
      </c>
      <c r="H42">
        <v>0</v>
      </c>
      <c r="I42">
        <v>0</v>
      </c>
      <c r="K42">
        <v>2017</v>
      </c>
      <c r="L42" t="s">
        <v>131</v>
      </c>
      <c r="P42">
        <v>2019</v>
      </c>
      <c r="Q42" t="s">
        <v>131</v>
      </c>
      <c r="U42">
        <v>2016</v>
      </c>
      <c r="V42" t="s">
        <v>131</v>
      </c>
      <c r="Z42">
        <v>55</v>
      </c>
      <c r="AA42" t="s">
        <v>131</v>
      </c>
      <c r="AE42" s="33" t="s">
        <v>116</v>
      </c>
      <c r="AF42" t="s">
        <v>131</v>
      </c>
      <c r="AJ42" t="s">
        <v>131</v>
      </c>
      <c r="AK42" s="39">
        <f>SUM(C42,H42,M42,R42,W42,AB42,AG42)</f>
        <v>0</v>
      </c>
      <c r="AL42" s="38">
        <f>SUM(D42,I42,N42,S42,X42,AC42,AH42)</f>
        <v>0</v>
      </c>
      <c r="AM42">
        <f>SUM(AN90)</f>
        <v>0</v>
      </c>
      <c r="AN42" s="19"/>
      <c r="AO42" s="12">
        <v>0.4</v>
      </c>
      <c r="AP42" s="6">
        <f>SUM(Table735679109[[#This Row],[Net Taxable Fuel (Gallons)]]*Table735679109[[#This Row],[Tax Rate]])</f>
        <v>0</v>
      </c>
    </row>
    <row r="43" spans="1:42" x14ac:dyDescent="0.15">
      <c r="A43">
        <v>2013</v>
      </c>
      <c r="B43" t="s">
        <v>34</v>
      </c>
      <c r="C43">
        <v>0</v>
      </c>
      <c r="D43">
        <v>0</v>
      </c>
      <c r="F43">
        <v>2015</v>
      </c>
      <c r="G43" t="s">
        <v>34</v>
      </c>
      <c r="H43">
        <v>0</v>
      </c>
      <c r="I43">
        <v>0</v>
      </c>
      <c r="K43">
        <v>2017</v>
      </c>
      <c r="L43" t="s">
        <v>34</v>
      </c>
      <c r="M43">
        <v>0</v>
      </c>
      <c r="N43">
        <v>0</v>
      </c>
      <c r="P43">
        <v>2019</v>
      </c>
      <c r="Q43" t="s">
        <v>34</v>
      </c>
      <c r="R43">
        <v>0</v>
      </c>
      <c r="U43">
        <v>2016</v>
      </c>
      <c r="V43" t="s">
        <v>34</v>
      </c>
      <c r="Z43">
        <v>55</v>
      </c>
      <c r="AA43" t="s">
        <v>34</v>
      </c>
      <c r="AB43">
        <v>0</v>
      </c>
      <c r="AE43" s="33" t="s">
        <v>116</v>
      </c>
      <c r="AF43" t="s">
        <v>34</v>
      </c>
      <c r="AJ43" t="s">
        <v>34</v>
      </c>
      <c r="AK43" s="39">
        <f>SUM(C43,H43,M43,R43,W43,AB43,AG43)</f>
        <v>0</v>
      </c>
      <c r="AL43" s="38">
        <f>SUM(D43,I43,N43,S43,X43,AC43,AH43)</f>
        <v>0</v>
      </c>
      <c r="AM43" s="15">
        <f>SUM(Table735679109[[#This Row],[MILES6]]/AN54)</f>
        <v>0</v>
      </c>
      <c r="AN43" s="19">
        <f>SUM(Table735679109[[#This Row],[Tax Paid Fuel (Gallons)]]-Table735679109[[#This Row],[Taxable Fuel (Gallons)]])</f>
        <v>0</v>
      </c>
      <c r="AO43" s="12">
        <v>0.28000000000000003</v>
      </c>
      <c r="AP43" s="6">
        <f>SUM(Table735679109[[#This Row],[Net Taxable Fuel (Gallons)]]*Table735679109[[#This Row],[Tax Rate]])</f>
        <v>0</v>
      </c>
    </row>
    <row r="44" spans="1:42" x14ac:dyDescent="0.15">
      <c r="A44">
        <v>2013</v>
      </c>
      <c r="B44" t="s">
        <v>16</v>
      </c>
      <c r="C44">
        <v>0</v>
      </c>
      <c r="D44">
        <v>0</v>
      </c>
      <c r="F44">
        <v>2015</v>
      </c>
      <c r="G44" t="s">
        <v>16</v>
      </c>
      <c r="H44">
        <v>0</v>
      </c>
      <c r="I44">
        <v>0</v>
      </c>
      <c r="K44">
        <v>2017</v>
      </c>
      <c r="L44" t="s">
        <v>16</v>
      </c>
      <c r="M44">
        <v>0</v>
      </c>
      <c r="N44">
        <v>0</v>
      </c>
      <c r="P44">
        <v>2019</v>
      </c>
      <c r="Q44" t="s">
        <v>16</v>
      </c>
      <c r="R44">
        <v>0</v>
      </c>
      <c r="U44">
        <v>2016</v>
      </c>
      <c r="V44" t="s">
        <v>16</v>
      </c>
      <c r="Z44">
        <v>55</v>
      </c>
      <c r="AA44" t="s">
        <v>16</v>
      </c>
      <c r="AB44">
        <v>0</v>
      </c>
      <c r="AE44" s="33" t="s">
        <v>116</v>
      </c>
      <c r="AF44" t="s">
        <v>16</v>
      </c>
      <c r="AJ44" t="s">
        <v>16</v>
      </c>
      <c r="AK44" s="39">
        <f>SUM(C44,H44,M44,R44,W44,AB44,AG44)</f>
        <v>0</v>
      </c>
      <c r="AL44" s="38">
        <f>SUM(D44,I44,N44,S44,X44,AC44,AH44)</f>
        <v>0</v>
      </c>
      <c r="AM44" s="15">
        <f>SUM(Table735679109[[#This Row],[MILES6]]/AN54)</f>
        <v>0</v>
      </c>
      <c r="AN44" s="19">
        <f>SUM(Table735679109[[#This Row],[Tax Paid Fuel (Gallons)]]-Table735679109[[#This Row],[Taxable Fuel (Gallons)]])</f>
        <v>0</v>
      </c>
      <c r="AO44" s="12">
        <v>0.28000000000000003</v>
      </c>
      <c r="AP44" s="6">
        <f>SUM(Table735679109[[#This Row],[Net Taxable Fuel (Gallons)]]*Table735679109[[#This Row],[Tax Rate]])</f>
        <v>0</v>
      </c>
    </row>
    <row r="45" spans="1:42" x14ac:dyDescent="0.15">
      <c r="A45">
        <v>2013</v>
      </c>
      <c r="B45" t="s">
        <v>30</v>
      </c>
      <c r="C45">
        <v>0</v>
      </c>
      <c r="D45">
        <v>0</v>
      </c>
      <c r="F45">
        <v>2015</v>
      </c>
      <c r="G45" t="s">
        <v>30</v>
      </c>
      <c r="H45">
        <v>202</v>
      </c>
      <c r="I45">
        <v>0</v>
      </c>
      <c r="K45">
        <v>2017</v>
      </c>
      <c r="L45" t="s">
        <v>30</v>
      </c>
      <c r="M45">
        <v>174</v>
      </c>
      <c r="N45">
        <v>0</v>
      </c>
      <c r="P45">
        <v>2019</v>
      </c>
      <c r="Q45" t="s">
        <v>30</v>
      </c>
      <c r="R45">
        <v>0</v>
      </c>
      <c r="U45">
        <v>2016</v>
      </c>
      <c r="V45" t="s">
        <v>30</v>
      </c>
      <c r="Z45">
        <v>55</v>
      </c>
      <c r="AA45" t="s">
        <v>30</v>
      </c>
      <c r="AB45">
        <v>0</v>
      </c>
      <c r="AE45" s="33" t="s">
        <v>116</v>
      </c>
      <c r="AF45" t="s">
        <v>30</v>
      </c>
      <c r="AJ45" t="s">
        <v>30</v>
      </c>
      <c r="AK45" s="39">
        <f>SUM(C45,H45,M45,R45,W45,AB45,AG45)</f>
        <v>376</v>
      </c>
      <c r="AL45" s="38">
        <f>SUM(D45,I45,N45,S45,X45,AC45,AH45)</f>
        <v>0</v>
      </c>
      <c r="AM45" s="15">
        <f>SUM(Table735679109[[#This Row],[MILES6]]/AN54)</f>
        <v>56.32608086356975</v>
      </c>
      <c r="AN45" s="19">
        <f>SUM(Table735679109[[#This Row],[Tax Paid Fuel (Gallons)]]-Table735679109[[#This Row],[Taxable Fuel (Gallons)]])</f>
        <v>-56.32608086356975</v>
      </c>
      <c r="AO45" s="12">
        <v>0.27</v>
      </c>
      <c r="AP45" s="6">
        <f>SUM(Table735679109[[#This Row],[Net Taxable Fuel (Gallons)]]*Table735679109[[#This Row],[Tax Rate]])</f>
        <v>-15.208041833163833</v>
      </c>
    </row>
    <row r="46" spans="1:42" x14ac:dyDescent="0.15">
      <c r="A46">
        <v>2013</v>
      </c>
      <c r="B46" t="s">
        <v>17</v>
      </c>
      <c r="C46">
        <v>2527</v>
      </c>
      <c r="D46">
        <v>384</v>
      </c>
      <c r="F46">
        <v>2015</v>
      </c>
      <c r="G46" t="s">
        <v>17</v>
      </c>
      <c r="H46">
        <v>3186</v>
      </c>
      <c r="I46">
        <v>598</v>
      </c>
      <c r="K46">
        <v>2017</v>
      </c>
      <c r="L46" t="s">
        <v>17</v>
      </c>
      <c r="M46">
        <v>3725</v>
      </c>
      <c r="N46">
        <v>515</v>
      </c>
      <c r="P46">
        <v>2019</v>
      </c>
      <c r="Q46" t="s">
        <v>17</v>
      </c>
      <c r="R46">
        <v>1035</v>
      </c>
      <c r="S46">
        <v>440</v>
      </c>
      <c r="U46">
        <v>2016</v>
      </c>
      <c r="V46" t="s">
        <v>17</v>
      </c>
      <c r="Z46">
        <v>55</v>
      </c>
      <c r="AA46" t="s">
        <v>17</v>
      </c>
      <c r="AB46">
        <v>44</v>
      </c>
      <c r="AC46">
        <v>174</v>
      </c>
      <c r="AE46" s="33" t="s">
        <v>116</v>
      </c>
      <c r="AF46" t="s">
        <v>17</v>
      </c>
      <c r="AJ46" t="s">
        <v>17</v>
      </c>
      <c r="AK46" s="39">
        <f>SUM(C46,H46,M46,R46,W46,AB46,AG46)</f>
        <v>10517</v>
      </c>
      <c r="AL46" s="38">
        <f>SUM(D46,I46,N46,S46,X46,AC46,AH46)</f>
        <v>2111</v>
      </c>
      <c r="AM46" s="15">
        <f>SUM(Table735679109[[#This Row],[MILES6]]/AN54)</f>
        <v>1575.4824267078804</v>
      </c>
      <c r="AN46" s="19">
        <f>SUM(Table735679109[[#This Row],[Tax Paid Fuel (Gallons)]]-Table735679109[[#This Row],[Taxable Fuel (Gallons)]])</f>
        <v>535.51757329211955</v>
      </c>
      <c r="AO46" s="12">
        <v>0.2</v>
      </c>
      <c r="AP46" s="6">
        <f>SUM(Table735679109[[#This Row],[Net Taxable Fuel (Gallons)]]*Table735679109[[#This Row],[Tax Rate]])</f>
        <v>107.10351465842392</v>
      </c>
    </row>
    <row r="47" spans="1:42" x14ac:dyDescent="0.15">
      <c r="A47">
        <v>2013</v>
      </c>
      <c r="B47" t="s">
        <v>7</v>
      </c>
      <c r="C47">
        <v>1582</v>
      </c>
      <c r="D47">
        <v>0</v>
      </c>
      <c r="F47">
        <v>2015</v>
      </c>
      <c r="G47" t="s">
        <v>7</v>
      </c>
      <c r="H47">
        <v>796</v>
      </c>
      <c r="I47">
        <v>100</v>
      </c>
      <c r="K47">
        <v>2017</v>
      </c>
      <c r="L47" t="s">
        <v>7</v>
      </c>
      <c r="M47">
        <v>611</v>
      </c>
      <c r="P47">
        <v>2019</v>
      </c>
      <c r="Q47" t="s">
        <v>7</v>
      </c>
      <c r="R47">
        <v>695</v>
      </c>
      <c r="S47">
        <v>185</v>
      </c>
      <c r="U47">
        <v>2016</v>
      </c>
      <c r="V47" t="s">
        <v>7</v>
      </c>
      <c r="Z47">
        <v>55</v>
      </c>
      <c r="AA47" t="s">
        <v>7</v>
      </c>
      <c r="AB47">
        <v>423</v>
      </c>
      <c r="AC47">
        <v>171</v>
      </c>
      <c r="AE47" s="33" t="s">
        <v>116</v>
      </c>
      <c r="AF47" t="s">
        <v>7</v>
      </c>
      <c r="AJ47" t="s">
        <v>7</v>
      </c>
      <c r="AK47" s="39">
        <f>SUM(C47,H47,M47,R47,W47,AB47,AG47)</f>
        <v>4107</v>
      </c>
      <c r="AL47" s="38">
        <f>SUM(D47,I47,N47,S47,X47,AC47,AH47)</f>
        <v>456</v>
      </c>
      <c r="AM47" s="15">
        <f>SUM(Table735679109[[#This Row],[MILES6]]/AN54)</f>
        <v>615.24259070925791</v>
      </c>
      <c r="AN47" s="19">
        <f>SUM(Table735679109[[#This Row],[Tax Paid Fuel (Gallons)]]-Table735679109[[#This Row],[Taxable Fuel (Gallons)]])</f>
        <v>-159.24259070925791</v>
      </c>
      <c r="AO47" s="12">
        <v>0.379</v>
      </c>
      <c r="AP47" s="6">
        <f>SUM(Table735679109[[#This Row],[Net Taxable Fuel (Gallons)]]*Table735679109[[#This Row],[Tax Rate]])</f>
        <v>-60.35294187880875</v>
      </c>
    </row>
    <row r="48" spans="1:42" x14ac:dyDescent="0.15">
      <c r="A48">
        <v>2013</v>
      </c>
      <c r="B48" t="s">
        <v>56</v>
      </c>
      <c r="C48">
        <v>0</v>
      </c>
      <c r="D48">
        <v>0</v>
      </c>
      <c r="F48">
        <v>2015</v>
      </c>
      <c r="G48" t="s">
        <v>56</v>
      </c>
      <c r="H48">
        <v>0</v>
      </c>
      <c r="I48">
        <v>0</v>
      </c>
      <c r="K48">
        <v>2017</v>
      </c>
      <c r="L48" t="s">
        <v>56</v>
      </c>
      <c r="M48">
        <v>0</v>
      </c>
      <c r="P48">
        <v>2019</v>
      </c>
      <c r="Q48" t="s">
        <v>56</v>
      </c>
      <c r="R48">
        <v>0</v>
      </c>
      <c r="U48">
        <v>2016</v>
      </c>
      <c r="V48" t="s">
        <v>56</v>
      </c>
      <c r="Z48">
        <v>55</v>
      </c>
      <c r="AA48" t="s">
        <v>56</v>
      </c>
      <c r="AB48">
        <v>0</v>
      </c>
      <c r="AE48" s="33" t="s">
        <v>116</v>
      </c>
      <c r="AF48" t="s">
        <v>56</v>
      </c>
      <c r="AJ48" t="s">
        <v>56</v>
      </c>
      <c r="AK48" s="39">
        <f>SUM(C48,H48,M48,R48,W48,AB48,AG48)</f>
        <v>0</v>
      </c>
      <c r="AL48" s="38">
        <f>SUM(D48,I48,N48,S48,X48,AC48,AH48)</f>
        <v>0</v>
      </c>
      <c r="AM48" s="15">
        <f>SUM(Table735679109[[#This Row],[MILES6]]/AN54)</f>
        <v>0</v>
      </c>
      <c r="AN48" s="19">
        <f>SUM(Table735679109[[#This Row],[Tax Paid Fuel (Gallons)]]-Table735679109[[#This Row],[Taxable Fuel (Gallons)]])</f>
        <v>0</v>
      </c>
      <c r="AO48" s="12">
        <v>0.32700000000000001</v>
      </c>
      <c r="AP48" s="6">
        <f>SUM(Table735679109[[#This Row],[Net Taxable Fuel (Gallons)]]*Table735679109[[#This Row],[Tax Rate]])</f>
        <v>0</v>
      </c>
    </row>
    <row r="49" spans="1:42" x14ac:dyDescent="0.15">
      <c r="A49">
        <v>2013</v>
      </c>
      <c r="B49" t="s">
        <v>132</v>
      </c>
      <c r="C49">
        <v>0</v>
      </c>
      <c r="D49">
        <v>0</v>
      </c>
      <c r="F49">
        <v>2015</v>
      </c>
      <c r="G49" t="s">
        <v>132</v>
      </c>
      <c r="H49">
        <v>0</v>
      </c>
      <c r="I49">
        <v>0</v>
      </c>
      <c r="K49">
        <v>2017</v>
      </c>
      <c r="L49" t="s">
        <v>132</v>
      </c>
      <c r="P49">
        <v>2019</v>
      </c>
      <c r="Q49" t="s">
        <v>132</v>
      </c>
      <c r="U49">
        <v>2016</v>
      </c>
      <c r="V49" t="s">
        <v>132</v>
      </c>
      <c r="Z49">
        <v>55</v>
      </c>
      <c r="AA49" t="s">
        <v>132</v>
      </c>
      <c r="AE49" s="33" t="s">
        <v>116</v>
      </c>
      <c r="AF49" t="s">
        <v>132</v>
      </c>
      <c r="AJ49" t="s">
        <v>132</v>
      </c>
      <c r="AK49" s="39">
        <f>SUM(C49,H49,M49,R49,W49,AB49,AG49)</f>
        <v>0</v>
      </c>
      <c r="AL49" s="38">
        <f>SUM(D49,I49,N49,S49,X49,AC49,AH49)</f>
        <v>0</v>
      </c>
      <c r="AM49">
        <f>SUM(AN97)</f>
        <v>0</v>
      </c>
      <c r="AN49" s="19"/>
      <c r="AO49" s="44" t="s">
        <v>133</v>
      </c>
      <c r="AP49" s="6" t="e">
        <f>SUM(Table735679109[[#This Row],[Net Taxable Fuel (Gallons)]]*Table735679109[[#This Row],[Tax Rate]])</f>
        <v>#VALUE!</v>
      </c>
    </row>
    <row r="50" spans="1:42" x14ac:dyDescent="0.15">
      <c r="A50">
        <v>2013</v>
      </c>
      <c r="B50" t="s">
        <v>8</v>
      </c>
      <c r="C50">
        <v>683</v>
      </c>
      <c r="D50">
        <v>0</v>
      </c>
      <c r="F50">
        <v>2015</v>
      </c>
      <c r="G50" t="s">
        <v>8</v>
      </c>
      <c r="H50">
        <v>0</v>
      </c>
      <c r="I50">
        <v>0</v>
      </c>
      <c r="K50">
        <v>2017</v>
      </c>
      <c r="L50" t="s">
        <v>8</v>
      </c>
      <c r="M50">
        <v>296</v>
      </c>
      <c r="P50">
        <v>2019</v>
      </c>
      <c r="Q50" t="s">
        <v>8</v>
      </c>
      <c r="R50">
        <v>392</v>
      </c>
      <c r="U50">
        <v>2016</v>
      </c>
      <c r="V50" t="s">
        <v>8</v>
      </c>
      <c r="Z50">
        <v>55</v>
      </c>
      <c r="AA50" t="s">
        <v>8</v>
      </c>
      <c r="AB50">
        <v>0</v>
      </c>
      <c r="AE50" s="33" t="s">
        <v>116</v>
      </c>
      <c r="AF50" t="s">
        <v>8</v>
      </c>
      <c r="AJ50" t="s">
        <v>8</v>
      </c>
      <c r="AK50" s="39">
        <f>SUM(C50,H50,M50,R50,W50,AB50,AG50)</f>
        <v>1371</v>
      </c>
      <c r="AL50" s="38">
        <f>SUM(D50,I50,N50,S50,X50,AC50,AH50)</f>
        <v>0</v>
      </c>
      <c r="AM50" s="15">
        <f>SUM(Table735679109[[#This Row],[MILES6]]/AN54)</f>
        <v>205.38047038285671</v>
      </c>
      <c r="AN50" s="19">
        <f>SUM(Table735679109[[#This Row],[Tax Paid Fuel (Gallons)]]-Table735679109[[#This Row],[Taxable Fuel (Gallons)]])</f>
        <v>-205.38047038285671</v>
      </c>
      <c r="AO50" s="12">
        <v>0.58399999999999996</v>
      </c>
      <c r="AP50" s="6">
        <f>SUM(Table735679109[[#This Row],[Net Taxable Fuel (Gallons)]]*Table735679109[[#This Row],[Tax Rate]])</f>
        <v>-119.94219470358831</v>
      </c>
    </row>
    <row r="51" spans="1:42" x14ac:dyDescent="0.15">
      <c r="A51">
        <v>2013</v>
      </c>
      <c r="B51" s="7" t="s">
        <v>58</v>
      </c>
      <c r="C51">
        <v>0</v>
      </c>
      <c r="D51">
        <v>0</v>
      </c>
      <c r="F51">
        <v>2015</v>
      </c>
      <c r="G51" s="7" t="s">
        <v>58</v>
      </c>
      <c r="H51">
        <v>0</v>
      </c>
      <c r="I51">
        <v>0</v>
      </c>
      <c r="K51">
        <v>2017</v>
      </c>
      <c r="L51" s="7" t="s">
        <v>58</v>
      </c>
      <c r="M51">
        <v>0</v>
      </c>
      <c r="P51">
        <v>2019</v>
      </c>
      <c r="Q51" s="7" t="s">
        <v>58</v>
      </c>
      <c r="R51">
        <v>0</v>
      </c>
      <c r="U51">
        <v>2016</v>
      </c>
      <c r="V51" s="7" t="s">
        <v>58</v>
      </c>
      <c r="Z51">
        <v>55</v>
      </c>
      <c r="AA51" s="7" t="s">
        <v>58</v>
      </c>
      <c r="AB51">
        <v>0</v>
      </c>
      <c r="AE51" s="33" t="s">
        <v>116</v>
      </c>
      <c r="AF51" s="7" t="s">
        <v>58</v>
      </c>
      <c r="AJ51" t="s">
        <v>58</v>
      </c>
      <c r="AK51" s="39">
        <f>SUM(C51,H51,M51,R51,W51,AB51,AG51)</f>
        <v>0</v>
      </c>
      <c r="AL51" s="38">
        <f>SUM(D51,I51,N51,S51,X51,AC51,AH51)</f>
        <v>0</v>
      </c>
      <c r="AM51" s="15">
        <f>SUM(Table735679109[[#This Row],[MILES6]]/AN54)</f>
        <v>0</v>
      </c>
      <c r="AN51" s="19">
        <f>SUM(Table735679109[[#This Row],[Tax Paid Fuel (Gallons)]]-Table735679109[[#This Row],[Taxable Fuel (Gallons)]])</f>
        <v>0</v>
      </c>
      <c r="AO51" s="12">
        <v>0.32900000000000001</v>
      </c>
      <c r="AP51" s="6">
        <f>SUM(Table735679109[[#This Row],[Net Taxable Fuel (Gallons)]]*Table735679109[[#This Row],[Tax Rate]])</f>
        <v>0</v>
      </c>
    </row>
    <row r="52" spans="1:42" x14ac:dyDescent="0.15">
      <c r="A52">
        <v>2013</v>
      </c>
      <c r="B52" t="s">
        <v>104</v>
      </c>
      <c r="C52">
        <v>0</v>
      </c>
      <c r="D52">
        <v>0</v>
      </c>
      <c r="F52">
        <v>2015</v>
      </c>
      <c r="G52" t="s">
        <v>104</v>
      </c>
      <c r="H52">
        <v>46</v>
      </c>
      <c r="I52">
        <v>0</v>
      </c>
      <c r="K52">
        <v>2017</v>
      </c>
      <c r="L52" t="s">
        <v>104</v>
      </c>
      <c r="M52">
        <v>58</v>
      </c>
      <c r="N52">
        <v>164</v>
      </c>
      <c r="P52">
        <v>2019</v>
      </c>
      <c r="Q52" t="s">
        <v>104</v>
      </c>
      <c r="R52">
        <v>0</v>
      </c>
      <c r="U52">
        <v>2016</v>
      </c>
      <c r="V52" t="s">
        <v>104</v>
      </c>
      <c r="Z52">
        <v>55</v>
      </c>
      <c r="AA52" t="s">
        <v>104</v>
      </c>
      <c r="AB52">
        <v>0</v>
      </c>
      <c r="AE52" s="33" t="s">
        <v>116</v>
      </c>
      <c r="AF52" t="s">
        <v>104</v>
      </c>
      <c r="AJ52" t="s">
        <v>104</v>
      </c>
      <c r="AK52" s="39">
        <f>SUM(C52,H52,M52,R52,W52,AB52,AG52)</f>
        <v>104</v>
      </c>
      <c r="AL52" s="38">
        <f>SUM(D52,I52,N52,S52,X52,AC52,AH52)</f>
        <v>164</v>
      </c>
      <c r="AM52">
        <f>SUM(AN88)</f>
        <v>0</v>
      </c>
      <c r="AN52" s="19"/>
      <c r="AO52" s="12">
        <v>0.35699999999999998</v>
      </c>
      <c r="AP52" s="6">
        <f>SUM(Table735679109[[#This Row],[Net Taxable Fuel (Gallons)]]*Table735679109[[#This Row],[Tax Rate]])</f>
        <v>0</v>
      </c>
    </row>
    <row r="53" spans="1:42" x14ac:dyDescent="0.15">
      <c r="A53">
        <v>2013</v>
      </c>
      <c r="B53" t="s">
        <v>18</v>
      </c>
      <c r="C53">
        <v>2105</v>
      </c>
      <c r="D53">
        <v>766</v>
      </c>
      <c r="F53">
        <v>2015</v>
      </c>
      <c r="G53" t="s">
        <v>18</v>
      </c>
      <c r="H53">
        <v>1614</v>
      </c>
      <c r="I53">
        <v>330</v>
      </c>
      <c r="K53">
        <v>2017</v>
      </c>
      <c r="L53" t="s">
        <v>18</v>
      </c>
      <c r="M53">
        <v>1718</v>
      </c>
      <c r="N53">
        <v>540</v>
      </c>
      <c r="P53">
        <v>2019</v>
      </c>
      <c r="Q53" t="s">
        <v>18</v>
      </c>
      <c r="R53">
        <v>410</v>
      </c>
      <c r="U53">
        <v>2016</v>
      </c>
      <c r="V53" t="s">
        <v>18</v>
      </c>
      <c r="Z53">
        <v>55</v>
      </c>
      <c r="AA53" t="s">
        <v>18</v>
      </c>
      <c r="AB53">
        <v>0</v>
      </c>
      <c r="AE53" s="33" t="s">
        <v>116</v>
      </c>
      <c r="AF53" t="s">
        <v>18</v>
      </c>
      <c r="AJ53" t="s">
        <v>18</v>
      </c>
      <c r="AK53" s="39">
        <f>SUM(C53,H53,M53,R53,W53,AB53,AG53)</f>
        <v>5847</v>
      </c>
      <c r="AL53" s="38">
        <f>SUM(D53,I53,N53,S53,X53,AC53,AH53)</f>
        <v>1636</v>
      </c>
      <c r="AM53" s="15">
        <f>SUM(AM89)</f>
        <v>0</v>
      </c>
      <c r="AN53" s="19">
        <f>SUM(Table735679109[[#This Row],[Tax Paid Fuel (Gallons)]]-Table735679109[[#This Row],[Taxable Fuel (Gallons)]])</f>
        <v>1636</v>
      </c>
      <c r="AO53" s="12">
        <v>0.24</v>
      </c>
      <c r="AP53" s="6">
        <f>SUM(Table735679109[[#This Row],[Net Taxable Fuel (Gallons)]]*Table735679109[[#This Row],[Tax Rate]])</f>
        <v>392.64</v>
      </c>
    </row>
    <row r="54" spans="1:42" x14ac:dyDescent="0.15">
      <c r="A54">
        <v>2013</v>
      </c>
      <c r="B54" t="s">
        <v>9</v>
      </c>
      <c r="C54">
        <f>SUM(C7:C53)</f>
        <v>23058</v>
      </c>
      <c r="D54">
        <f>SUM(D7:D53)</f>
        <v>3710</v>
      </c>
      <c r="E54">
        <f>SUM(C54/D54)</f>
        <v>6.2150943396226417</v>
      </c>
      <c r="F54">
        <v>2015</v>
      </c>
      <c r="G54" t="s">
        <v>9</v>
      </c>
      <c r="H54">
        <f>SUM(H7:H53)</f>
        <v>31501</v>
      </c>
      <c r="I54">
        <f>SUM(I7:I53)</f>
        <v>4730</v>
      </c>
      <c r="J54">
        <f>SUM(H54/I54)</f>
        <v>6.6598308668076109</v>
      </c>
      <c r="K54">
        <v>2017</v>
      </c>
      <c r="L54" t="s">
        <v>9</v>
      </c>
      <c r="M54">
        <f>SUM(M7:M53)</f>
        <v>32928</v>
      </c>
      <c r="N54">
        <f>SUM(N7:N53)</f>
        <v>5178</v>
      </c>
      <c r="O54">
        <f>SUM(M54/N54)</f>
        <v>6.3592120509849366</v>
      </c>
      <c r="P54">
        <v>2019</v>
      </c>
      <c r="Q54" t="s">
        <v>9</v>
      </c>
      <c r="R54">
        <f>SUM(R7:R53)</f>
        <v>30980</v>
      </c>
      <c r="S54">
        <f>SUM(S7:S53)</f>
        <v>4140</v>
      </c>
      <c r="T54">
        <f>SUM(R54/S54)</f>
        <v>7.4830917874396139</v>
      </c>
      <c r="U54">
        <v>2016</v>
      </c>
      <c r="V54" t="s">
        <v>9</v>
      </c>
      <c r="W54">
        <f>SUM(W7:W53)</f>
        <v>0</v>
      </c>
      <c r="X54">
        <f>SUM(X7:X53)</f>
        <v>0</v>
      </c>
      <c r="Y54" t="e">
        <f>SUM(Table735679109[[#This Row],[MILES2]]/Table735679109[[#This Row],[GALLONS2]])</f>
        <v>#DIV/0!</v>
      </c>
      <c r="Z54">
        <v>55</v>
      </c>
      <c r="AA54" t="s">
        <v>9</v>
      </c>
      <c r="AB54">
        <f>SUM(AB7:AB53)</f>
        <v>6410</v>
      </c>
      <c r="AC54">
        <f>SUM(AC7:AC53)</f>
        <v>949</v>
      </c>
      <c r="AD54">
        <f>SUM(Table735679109[[#This Row],[MILES7]]/Table735679109[[#This Row],[GALLONS3]])</f>
        <v>6.7544783983140144</v>
      </c>
      <c r="AE54" s="33" t="s">
        <v>116</v>
      </c>
      <c r="AF54" t="s">
        <v>9</v>
      </c>
      <c r="AG54">
        <f>SUM(AG7:AG53)</f>
        <v>0</v>
      </c>
      <c r="AH54">
        <f>SUM(AH7:AH53)</f>
        <v>0</v>
      </c>
      <c r="AI54" t="e">
        <f>SUM(Table735679109[[#This Row],[MILES8]]/Table735679109[[#This Row],[GALLONS7]])</f>
        <v>#DIV/0!</v>
      </c>
      <c r="AJ54" s="37" t="s">
        <v>9</v>
      </c>
      <c r="AK54" s="39">
        <f>SUM(C54,H54,M54,R54,W54,AB54,AG54)</f>
        <v>124877</v>
      </c>
      <c r="AL54" s="38">
        <f>SUM(D54,I54,N54,S54,X54,AC54,AH54)</f>
        <v>18707</v>
      </c>
      <c r="AM54" s="15">
        <f>SUM(AM91)</f>
        <v>0</v>
      </c>
      <c r="AN54" s="17">
        <f>SUM(AK54/AL54)</f>
        <v>6.6754156198214574</v>
      </c>
      <c r="AP54" s="6">
        <f>SUM(Table735679109[[#This Row],[Net Taxable Fuel (Gallons)]]*Table735679109[[#This Row],[Tax Rate]])</f>
        <v>0</v>
      </c>
    </row>
    <row r="55" spans="1:42" x14ac:dyDescent="0.15">
      <c r="E55" s="35" t="s">
        <v>39</v>
      </c>
      <c r="J55" s="35" t="s">
        <v>39</v>
      </c>
      <c r="O55" s="35" t="s">
        <v>39</v>
      </c>
      <c r="T55" s="35" t="s">
        <v>39</v>
      </c>
      <c r="Y55" s="35" t="s">
        <v>39</v>
      </c>
      <c r="AD55" s="13" t="s">
        <v>39</v>
      </c>
      <c r="AI55" s="35" t="s">
        <v>39</v>
      </c>
      <c r="AK55">
        <f>SUM(C55,H55,M55,R55,W55,AB55,AG55)</f>
        <v>0</v>
      </c>
      <c r="AL55" s="13">
        <f>SUM(D55,I55,N55,S55,X55,AC55,AH55)</f>
        <v>0</v>
      </c>
      <c r="AM55">
        <f>SUM(AM92)</f>
        <v>0</v>
      </c>
      <c r="AN55" s="13" t="s">
        <v>39</v>
      </c>
      <c r="AP55" s="6" t="e">
        <f>SUM(AP16:AP54)</f>
        <v>#VALUE!</v>
      </c>
    </row>
    <row r="56" spans="1:42" ht="24" x14ac:dyDescent="0.15">
      <c r="A56" s="6" t="s">
        <v>122</v>
      </c>
      <c r="B56" s="6">
        <v>100</v>
      </c>
      <c r="F56" s="6" t="s">
        <v>122</v>
      </c>
      <c r="G56" s="6">
        <v>100</v>
      </c>
      <c r="J56" s="3" t="s">
        <v>57</v>
      </c>
      <c r="K56" s="6" t="s">
        <v>122</v>
      </c>
      <c r="L56" s="6">
        <v>100</v>
      </c>
      <c r="P56" s="6" t="s">
        <v>122</v>
      </c>
      <c r="Q56" s="6">
        <v>100</v>
      </c>
      <c r="U56" s="6" t="s">
        <v>122</v>
      </c>
      <c r="V56" s="6">
        <v>100</v>
      </c>
      <c r="Z56" s="6" t="s">
        <v>122</v>
      </c>
      <c r="AA56" s="6">
        <v>100</v>
      </c>
      <c r="AE56" s="6" t="s">
        <v>122</v>
      </c>
      <c r="AF56" s="6"/>
      <c r="AI56" t="s">
        <v>122</v>
      </c>
      <c r="AJ56" s="45"/>
      <c r="AK56">
        <f>SUM(C56,H56,M56,R56,W56,AB56,AG56)</f>
        <v>0</v>
      </c>
      <c r="AL56" s="13">
        <f>SUM(D56,I56,N56,S56,X56,AC56,AH56)</f>
        <v>0</v>
      </c>
      <c r="AM56">
        <f>SUM(AM93)</f>
        <v>0</v>
      </c>
      <c r="AN56" s="18">
        <f>SUM(Table735679109[[#This Row],[2013]],Table735679109[[#This Row],[2015]],Table735679109[[#This Row],[2017]],Table735679109[[#This Row],[2019]])</f>
        <v>0</v>
      </c>
      <c r="AP56" s="22"/>
    </row>
    <row r="57" spans="1:42" ht="13.5" x14ac:dyDescent="0.15">
      <c r="A57" t="s">
        <v>134</v>
      </c>
      <c r="B57" s="6">
        <v>4.1500000000000004</v>
      </c>
      <c r="F57" s="6" t="s">
        <v>134</v>
      </c>
      <c r="G57" s="6">
        <v>4.1500000000000004</v>
      </c>
      <c r="J57" s="3"/>
      <c r="K57" s="6" t="s">
        <v>134</v>
      </c>
      <c r="L57" s="6">
        <v>4.1500000000000004</v>
      </c>
      <c r="P57" s="6" t="s">
        <v>134</v>
      </c>
      <c r="Q57" s="6">
        <v>4.1500000000000004</v>
      </c>
      <c r="U57" s="6" t="s">
        <v>134</v>
      </c>
      <c r="V57" s="6"/>
      <c r="Z57" s="6" t="s">
        <v>134</v>
      </c>
      <c r="AA57" s="6">
        <v>4.1500000000000004</v>
      </c>
      <c r="AE57" s="6" t="s">
        <v>134</v>
      </c>
      <c r="AF57" s="6"/>
      <c r="AI57" s="6" t="s">
        <v>134</v>
      </c>
      <c r="AJ57" s="45"/>
      <c r="AK57">
        <f>SUM(C57,H57,M57,R57,W57,AB57,AG57)</f>
        <v>0</v>
      </c>
      <c r="AL57" s="13">
        <f>SUM(D57,I57,N57,S57,X57,AC57,AH57)</f>
        <v>0</v>
      </c>
      <c r="AM57">
        <f>SUM(AN104)</f>
        <v>0</v>
      </c>
      <c r="AN57" s="18"/>
      <c r="AP57" s="22">
        <f>SUM(Table735679109[[#This Row],[Net Taxable Fuel (Gallons)]]*Table735679109[[#This Row],[Tax Rate]])</f>
        <v>0</v>
      </c>
    </row>
    <row r="58" spans="1:42" x14ac:dyDescent="0.15">
      <c r="A58" t="s">
        <v>121</v>
      </c>
      <c r="B58" s="6">
        <v>640.92999999999995</v>
      </c>
      <c r="F58" t="s">
        <v>121</v>
      </c>
      <c r="G58" s="6">
        <v>765.72</v>
      </c>
      <c r="K58" t="s">
        <v>121</v>
      </c>
      <c r="L58" s="6">
        <v>509.77</v>
      </c>
      <c r="P58" t="s">
        <v>121</v>
      </c>
      <c r="Q58" s="6">
        <v>931.3</v>
      </c>
      <c r="U58" t="s">
        <v>121</v>
      </c>
      <c r="V58" s="6"/>
      <c r="Z58" t="s">
        <v>121</v>
      </c>
      <c r="AA58" s="6">
        <v>350.86</v>
      </c>
      <c r="AE58" t="s">
        <v>121</v>
      </c>
      <c r="AF58" s="6"/>
      <c r="AI58" t="s">
        <v>121</v>
      </c>
      <c r="AJ58" s="6"/>
      <c r="AK58">
        <f>SUM(C58,H58,M58,R58,W58,AB58,AG58)</f>
        <v>0</v>
      </c>
      <c r="AL58" s="13">
        <f>SUM(D58,I58,N58,S58,X58,AC58,AH58)</f>
        <v>0</v>
      </c>
      <c r="AM58">
        <f t="shared" ref="AM58:AM62" si="0">SUM(AM94)</f>
        <v>0</v>
      </c>
      <c r="AN58" s="13"/>
      <c r="AP58" s="6"/>
    </row>
    <row r="59" spans="1:42" x14ac:dyDescent="0.15">
      <c r="A59" s="5" t="s">
        <v>26</v>
      </c>
      <c r="B59" s="6"/>
      <c r="F59" s="2" t="s">
        <v>26</v>
      </c>
      <c r="G59" s="6">
        <v>21.62</v>
      </c>
      <c r="K59" s="2" t="s">
        <v>26</v>
      </c>
      <c r="L59" s="6">
        <v>13.56</v>
      </c>
      <c r="P59" s="2" t="s">
        <v>26</v>
      </c>
      <c r="Q59" s="6"/>
      <c r="U59" s="2" t="s">
        <v>26</v>
      </c>
      <c r="V59" s="6"/>
      <c r="Z59" s="2" t="s">
        <v>26</v>
      </c>
      <c r="AA59" s="6"/>
      <c r="AE59" s="2" t="s">
        <v>26</v>
      </c>
      <c r="AF59" s="6"/>
      <c r="AI59" s="2" t="s">
        <v>26</v>
      </c>
      <c r="AJ59" s="6"/>
      <c r="AK59">
        <f>SUM(C59,H59,M59,R59,W59,AB59,AG59)</f>
        <v>0</v>
      </c>
      <c r="AL59" s="13">
        <f>SUM(D59,I59,N59,S59,X59,AC59,AH59)</f>
        <v>0</v>
      </c>
      <c r="AM59">
        <f t="shared" si="0"/>
        <v>0</v>
      </c>
      <c r="AN59" s="13"/>
      <c r="AP59" s="6">
        <f>SUM(Table735679109[[#This Row],[Net Taxable Fuel (Gallons)]]*Table735679109[[#This Row],[Tax Rate]])</f>
        <v>0</v>
      </c>
    </row>
    <row r="60" spans="1:42" x14ac:dyDescent="0.15">
      <c r="A60" s="6" t="s">
        <v>14</v>
      </c>
      <c r="B60" s="6">
        <v>34.19</v>
      </c>
      <c r="F60" s="6" t="s">
        <v>14</v>
      </c>
      <c r="G60" s="31">
        <v>74.290000000000006</v>
      </c>
      <c r="K60" s="6" t="s">
        <v>14</v>
      </c>
      <c r="L60" s="6">
        <v>99.12</v>
      </c>
      <c r="P60" s="6" t="s">
        <v>14</v>
      </c>
      <c r="Q60" s="6">
        <v>22.46</v>
      </c>
      <c r="U60" s="6" t="s">
        <v>14</v>
      </c>
      <c r="V60" s="6"/>
      <c r="Z60" s="6" t="s">
        <v>14</v>
      </c>
      <c r="AA60" s="6">
        <v>17.07</v>
      </c>
      <c r="AE60" s="6" t="s">
        <v>14</v>
      </c>
      <c r="AF60" s="6"/>
      <c r="AI60" s="6" t="s">
        <v>14</v>
      </c>
      <c r="AJ60" s="6"/>
      <c r="AK60">
        <f>SUM(C60,H60,M60,R60,W60,AB60,AG60)</f>
        <v>0</v>
      </c>
      <c r="AL60" s="13">
        <f>SUM(D60,I60,N60,S60,X60,AC60,AH60)</f>
        <v>0</v>
      </c>
      <c r="AM60">
        <f t="shared" si="0"/>
        <v>0</v>
      </c>
      <c r="AN60" s="13"/>
      <c r="AP60" s="6">
        <f>SUM(Table735679109[[#This Row],[Net Taxable Fuel (Gallons)]]*Table735679109[[#This Row],[Tax Rate]])</f>
        <v>0</v>
      </c>
    </row>
    <row r="61" spans="1:42" x14ac:dyDescent="0.15">
      <c r="A61" s="21" t="s">
        <v>66</v>
      </c>
      <c r="B61" s="6"/>
      <c r="F61" s="21" t="s">
        <v>66</v>
      </c>
      <c r="G61" s="6"/>
      <c r="J61" s="6"/>
      <c r="K61" s="21" t="s">
        <v>66</v>
      </c>
      <c r="L61" s="6"/>
      <c r="P61" s="21" t="s">
        <v>66</v>
      </c>
      <c r="Q61" s="6"/>
      <c r="U61" s="21" t="s">
        <v>66</v>
      </c>
      <c r="V61" s="6"/>
      <c r="Z61" s="21" t="s">
        <v>66</v>
      </c>
      <c r="AA61" s="6">
        <v>58.64</v>
      </c>
      <c r="AE61" s="21" t="s">
        <v>66</v>
      </c>
      <c r="AF61" s="6"/>
      <c r="AI61" s="21" t="s">
        <v>66</v>
      </c>
      <c r="AJ61" s="6"/>
      <c r="AK61">
        <f>SUM(C61,H61,M61,R61,W61,AB61,AG61)</f>
        <v>0</v>
      </c>
      <c r="AL61" s="13">
        <f>SUM(D61,I61,N61,S61,X61,AC61,AH61)</f>
        <v>0</v>
      </c>
      <c r="AM61">
        <f t="shared" si="0"/>
        <v>0</v>
      </c>
      <c r="AN61" s="13"/>
      <c r="AP61" s="6">
        <f>SUM(Table735679109[[#This Row],[Net Taxable Fuel (Gallons)]]*Table735679109[[#This Row],[Tax Rate]])</f>
        <v>0</v>
      </c>
    </row>
    <row r="62" spans="1:42" x14ac:dyDescent="0.15">
      <c r="A62" t="s">
        <v>65</v>
      </c>
      <c r="B62" s="6"/>
      <c r="F62" t="s">
        <v>65</v>
      </c>
      <c r="G62" s="6"/>
      <c r="K62" t="s">
        <v>65</v>
      </c>
      <c r="L62" s="6"/>
      <c r="P62" t="s">
        <v>65</v>
      </c>
      <c r="Q62" s="6"/>
      <c r="U62" t="s">
        <v>65</v>
      </c>
      <c r="V62" s="6"/>
      <c r="Z62" t="s">
        <v>65</v>
      </c>
      <c r="AA62" s="6"/>
      <c r="AE62" t="s">
        <v>65</v>
      </c>
      <c r="AF62" s="6"/>
      <c r="AI62" t="s">
        <v>65</v>
      </c>
      <c r="AJ62" s="6"/>
      <c r="AK62">
        <f>SUM(C62,H62,M62,R62,W62,AB62,AG62)</f>
        <v>0</v>
      </c>
      <c r="AL62" s="13">
        <f>SUM(D62,I62,N62,S62,X62,AC62,AH62)</f>
        <v>0</v>
      </c>
      <c r="AM62">
        <f t="shared" si="0"/>
        <v>0</v>
      </c>
      <c r="AN62" s="13"/>
      <c r="AP62" s="6">
        <f>SUM(Table735679109[[#This Row],[Net Taxable Fuel (Gallons)]]*Table735679109[[#This Row],[Tax Rate]])</f>
        <v>0</v>
      </c>
    </row>
  </sheetData>
  <phoneticPr fontId="6" alignment="center"/>
  <pageMargins left="1" right="1" top="1" bottom="1" header="0.5" footer="0.5"/>
  <pageSetup orientation="landscape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5DDA7-75B8-4B35-BECA-77F403CA53BB}">
  <dimension ref="A1:AP49"/>
  <sheetViews>
    <sheetView topLeftCell="A17" workbookViewId="0">
      <selection activeCell="AB25" sqref="A25:XFD25"/>
    </sheetView>
  </sheetViews>
  <sheetFormatPr defaultColWidth="8.76171875" defaultRowHeight="12.75" x14ac:dyDescent="0.15"/>
  <cols>
    <col min="16" max="16" width="10.11328125" bestFit="1" customWidth="1"/>
    <col min="31" max="31" width="8.62890625" style="33"/>
    <col min="41" max="41" width="10.515625" bestFit="1" customWidth="1"/>
  </cols>
  <sheetData>
    <row r="1" spans="1:42" ht="12.75" customHeight="1" x14ac:dyDescent="0.5">
      <c r="A1" s="32" t="s">
        <v>98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4"/>
      <c r="AF1" s="32"/>
      <c r="AG1" s="32"/>
      <c r="AH1" s="32"/>
      <c r="AI1" s="32"/>
      <c r="AJ1" s="32"/>
      <c r="AK1" s="32"/>
      <c r="AL1" s="32"/>
      <c r="AM1" s="32"/>
      <c r="AN1" s="32"/>
      <c r="AO1" s="32"/>
    </row>
    <row r="2" spans="1:42" ht="12.75" customHeight="1" x14ac:dyDescent="0.5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4"/>
      <c r="AF2" s="32"/>
      <c r="AG2" s="32"/>
      <c r="AH2" s="32"/>
      <c r="AI2" s="32"/>
      <c r="AJ2" s="32"/>
      <c r="AK2" s="32"/>
      <c r="AL2" s="32"/>
      <c r="AM2" s="32"/>
      <c r="AN2" s="32"/>
      <c r="AO2" s="32"/>
    </row>
    <row r="3" spans="1:42" ht="12.75" customHeight="1" x14ac:dyDescent="0.5">
      <c r="A3" s="32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4"/>
      <c r="AF3" s="32"/>
      <c r="AG3" s="32"/>
      <c r="AH3" s="32"/>
      <c r="AI3" s="32"/>
      <c r="AJ3" s="32"/>
      <c r="AK3" s="32"/>
      <c r="AL3" s="32"/>
      <c r="AM3" s="32"/>
      <c r="AN3" s="32"/>
      <c r="AO3" s="32"/>
    </row>
    <row r="4" spans="1:42" ht="12.75" customHeight="1" x14ac:dyDescent="0.5">
      <c r="A4" s="32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4"/>
      <c r="AF4" s="32"/>
      <c r="AG4" s="32"/>
      <c r="AH4" s="32"/>
      <c r="AI4" s="32"/>
      <c r="AJ4" s="32"/>
      <c r="AK4" s="32"/>
      <c r="AL4" s="32"/>
      <c r="AM4" s="32"/>
      <c r="AN4" s="32"/>
      <c r="AO4" s="32"/>
    </row>
    <row r="5" spans="1:42" ht="12.75" customHeight="1" x14ac:dyDescent="0.5">
      <c r="A5" s="32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4"/>
      <c r="AF5" s="32"/>
      <c r="AG5" s="32"/>
      <c r="AH5" s="32"/>
      <c r="AI5" s="32"/>
      <c r="AJ5" s="32"/>
      <c r="AK5" s="32"/>
      <c r="AL5" s="32"/>
      <c r="AM5" s="32"/>
      <c r="AN5" s="32"/>
      <c r="AO5" s="32"/>
    </row>
    <row r="6" spans="1:42" x14ac:dyDescent="0.15">
      <c r="A6" t="s">
        <v>31</v>
      </c>
      <c r="B6" t="s">
        <v>36</v>
      </c>
      <c r="C6" t="s">
        <v>37</v>
      </c>
      <c r="D6" t="s">
        <v>38</v>
      </c>
      <c r="E6" t="s">
        <v>39</v>
      </c>
      <c r="F6" t="s">
        <v>89</v>
      </c>
      <c r="G6" t="s">
        <v>40</v>
      </c>
      <c r="H6" t="s">
        <v>41</v>
      </c>
      <c r="I6" t="s">
        <v>42</v>
      </c>
      <c r="J6" t="s">
        <v>43</v>
      </c>
      <c r="K6" t="s">
        <v>10</v>
      </c>
      <c r="L6" t="s">
        <v>44</v>
      </c>
      <c r="M6" t="s">
        <v>45</v>
      </c>
      <c r="N6" t="s">
        <v>46</v>
      </c>
      <c r="O6" t="s">
        <v>47</v>
      </c>
      <c r="P6" t="s">
        <v>0</v>
      </c>
      <c r="Q6" t="s">
        <v>48</v>
      </c>
      <c r="R6" t="s">
        <v>49</v>
      </c>
      <c r="S6" t="s">
        <v>50</v>
      </c>
      <c r="T6" t="s">
        <v>51</v>
      </c>
      <c r="U6" t="s">
        <v>19</v>
      </c>
      <c r="V6" t="s">
        <v>107</v>
      </c>
      <c r="W6" t="s">
        <v>108</v>
      </c>
      <c r="X6" t="s">
        <v>109</v>
      </c>
      <c r="Y6" t="s">
        <v>106</v>
      </c>
      <c r="Z6" t="s">
        <v>111</v>
      </c>
      <c r="AA6" t="s">
        <v>112</v>
      </c>
      <c r="AB6" t="s">
        <v>113</v>
      </c>
      <c r="AC6" t="s">
        <v>114</v>
      </c>
      <c r="AD6" t="s">
        <v>110</v>
      </c>
      <c r="AE6" s="33" t="s">
        <v>116</v>
      </c>
      <c r="AF6" t="s">
        <v>117</v>
      </c>
      <c r="AG6" t="s">
        <v>118</v>
      </c>
      <c r="AH6" t="s">
        <v>119</v>
      </c>
      <c r="AI6" t="s">
        <v>115</v>
      </c>
      <c r="AJ6" t="s">
        <v>52</v>
      </c>
      <c r="AK6" t="s">
        <v>53</v>
      </c>
      <c r="AL6" s="13" t="s">
        <v>61</v>
      </c>
      <c r="AM6" t="s">
        <v>62</v>
      </c>
      <c r="AN6" s="13" t="s">
        <v>63</v>
      </c>
      <c r="AO6" t="s">
        <v>35</v>
      </c>
      <c r="AP6" t="s">
        <v>64</v>
      </c>
    </row>
    <row r="7" spans="1:42" x14ac:dyDescent="0.15">
      <c r="A7">
        <v>2013</v>
      </c>
      <c r="B7" t="s">
        <v>20</v>
      </c>
      <c r="F7">
        <v>2015</v>
      </c>
      <c r="G7" t="s">
        <v>20</v>
      </c>
      <c r="K7">
        <v>2017</v>
      </c>
      <c r="L7" t="s">
        <v>20</v>
      </c>
      <c r="P7">
        <v>2019</v>
      </c>
      <c r="Q7" t="s">
        <v>20</v>
      </c>
      <c r="U7">
        <v>2016</v>
      </c>
      <c r="V7" t="s">
        <v>20</v>
      </c>
      <c r="Z7">
        <v>55</v>
      </c>
      <c r="AA7" t="s">
        <v>20</v>
      </c>
      <c r="AE7" s="33" t="s">
        <v>116</v>
      </c>
      <c r="AF7" t="s">
        <v>20</v>
      </c>
      <c r="AJ7" t="s">
        <v>20</v>
      </c>
      <c r="AK7">
        <f t="shared" ref="AK7:AL42" si="0">SUM(C7,H7,M7,R7)</f>
        <v>0</v>
      </c>
      <c r="AL7" s="13">
        <f t="shared" si="0"/>
        <v>0</v>
      </c>
      <c r="AM7" s="15" t="e">
        <f>SUM(Table73567910[[#This Row],[MILES6]]/AN42)</f>
        <v>#DIV/0!</v>
      </c>
      <c r="AN7" s="17" t="e">
        <f>SUM(Table73567910[[#This Row],[Tax Paid Fuel (Gallons)]]-Table73567910[[#This Row],[Taxable Fuel (Gallons)]])</f>
        <v>#DIV/0!</v>
      </c>
      <c r="AO7" s="11">
        <v>0.3</v>
      </c>
      <c r="AP7" s="16" t="e">
        <f>SUM(Table73567910[[#This Row],[Net Taxable Fuel (Gallons)]]*Table73567910[[#This Row],[Tax Rate]])</f>
        <v>#DIV/0!</v>
      </c>
    </row>
    <row r="8" spans="1:42" x14ac:dyDescent="0.15">
      <c r="A8">
        <v>2013</v>
      </c>
      <c r="B8" t="s">
        <v>21</v>
      </c>
      <c r="F8">
        <v>2015</v>
      </c>
      <c r="G8" t="s">
        <v>21</v>
      </c>
      <c r="K8">
        <v>2017</v>
      </c>
      <c r="L8" t="s">
        <v>21</v>
      </c>
      <c r="P8">
        <v>2019</v>
      </c>
      <c r="Q8" t="s">
        <v>21</v>
      </c>
      <c r="U8">
        <v>2016</v>
      </c>
      <c r="V8" t="s">
        <v>21</v>
      </c>
      <c r="Z8">
        <v>55</v>
      </c>
      <c r="AA8" t="s">
        <v>21</v>
      </c>
      <c r="AE8" s="33" t="s">
        <v>116</v>
      </c>
      <c r="AF8" t="s">
        <v>21</v>
      </c>
      <c r="AJ8" t="s">
        <v>21</v>
      </c>
      <c r="AK8">
        <f t="shared" si="0"/>
        <v>0</v>
      </c>
      <c r="AL8" s="13">
        <f>SUM(D8,I8,N8,S8)</f>
        <v>0</v>
      </c>
      <c r="AM8" s="15" t="e">
        <f>SUM(Table73567910[[#This Row],[MILES6]]/AN42)</f>
        <v>#DIV/0!</v>
      </c>
      <c r="AN8" s="19" t="e">
        <f>SUM(Table73567910[[#This Row],[Tax Paid Fuel (Gallons)]]-Table73567910[[#This Row],[Taxable Fuel (Gallons)]])</f>
        <v>#DIV/0!</v>
      </c>
      <c r="AO8" s="12">
        <v>0.28499999999999998</v>
      </c>
      <c r="AP8" s="14" t="e">
        <f>SUM(Table73567910[[#This Row],[Net Taxable Fuel (Gallons)]]*Table73567910[[#This Row],[Tax Rate]])</f>
        <v>#DIV/0!</v>
      </c>
    </row>
    <row r="9" spans="1:42" x14ac:dyDescent="0.15">
      <c r="A9">
        <v>2013</v>
      </c>
      <c r="B9" t="s">
        <v>1</v>
      </c>
      <c r="F9">
        <v>2015</v>
      </c>
      <c r="G9" t="s">
        <v>1</v>
      </c>
      <c r="K9">
        <v>2017</v>
      </c>
      <c r="L9" t="s">
        <v>1</v>
      </c>
      <c r="P9">
        <v>2019</v>
      </c>
      <c r="Q9" t="s">
        <v>1</v>
      </c>
      <c r="U9">
        <v>2016</v>
      </c>
      <c r="V9" t="s">
        <v>1</v>
      </c>
      <c r="Z9">
        <v>55</v>
      </c>
      <c r="AA9" t="s">
        <v>1</v>
      </c>
      <c r="AE9" s="33" t="s">
        <v>116</v>
      </c>
      <c r="AF9" t="s">
        <v>1</v>
      </c>
      <c r="AJ9" t="s">
        <v>1</v>
      </c>
      <c r="AK9">
        <f t="shared" si="0"/>
        <v>0</v>
      </c>
      <c r="AL9" s="13">
        <f>SUM(D9,I9,N9,S9)</f>
        <v>0</v>
      </c>
      <c r="AM9" s="15" t="e">
        <f>SUM(Table73567910[[#This Row],[MILES6]]/AN42)</f>
        <v>#DIV/0!</v>
      </c>
      <c r="AN9" s="19" t="e">
        <f>SUM(Table73567910[[#This Row],[Tax Paid Fuel (Gallons)]]-Table73567910[[#This Row],[Taxable Fuel (Gallons)]])</f>
        <v>#DIV/0!</v>
      </c>
      <c r="AO9" s="12">
        <v>0.26</v>
      </c>
      <c r="AP9" s="14" t="e">
        <f>SUM(Table73567910[[#This Row],[Net Taxable Fuel (Gallons)]]*Table73567910[[#This Row],[Tax Rate]])</f>
        <v>#DIV/0!</v>
      </c>
    </row>
    <row r="10" spans="1:42" x14ac:dyDescent="0.15">
      <c r="A10">
        <v>2013</v>
      </c>
      <c r="B10" t="s">
        <v>2</v>
      </c>
      <c r="F10">
        <v>2015</v>
      </c>
      <c r="G10" t="s">
        <v>2</v>
      </c>
      <c r="K10">
        <v>2017</v>
      </c>
      <c r="L10" t="s">
        <v>2</v>
      </c>
      <c r="P10">
        <v>2019</v>
      </c>
      <c r="Q10" t="s">
        <v>2</v>
      </c>
      <c r="U10">
        <v>2016</v>
      </c>
      <c r="V10" t="s">
        <v>2</v>
      </c>
      <c r="Z10">
        <v>55</v>
      </c>
      <c r="AA10" t="s">
        <v>2</v>
      </c>
      <c r="AE10" s="33" t="s">
        <v>116</v>
      </c>
      <c r="AF10" t="s">
        <v>2</v>
      </c>
      <c r="AJ10" t="s">
        <v>2</v>
      </c>
      <c r="AK10">
        <f t="shared" si="0"/>
        <v>0</v>
      </c>
      <c r="AL10" s="13">
        <f>SUM(D10,I10,N10,S10)</f>
        <v>0</v>
      </c>
      <c r="AM10" s="15" t="e">
        <f>SUM(Table73567910[[#This Row],[MILES6]]/AN42)</f>
        <v>#DIV/0!</v>
      </c>
      <c r="AN10" s="19" t="e">
        <f>SUM(Table73567910[[#This Row],[Tax Paid Fuel (Gallons)]]-Table73567910[[#This Row],[Taxable Fuel (Gallons)]])</f>
        <v>#DIV/0!</v>
      </c>
      <c r="AO10" s="12">
        <v>1.0229999999999999</v>
      </c>
      <c r="AP10" s="14" t="e">
        <f>SUM(Table73567910[[#This Row],[Net Taxable Fuel (Gallons)]]*Table73567910[[#This Row],[Tax Rate]])</f>
        <v>#DIV/0!</v>
      </c>
    </row>
    <row r="11" spans="1:42" x14ac:dyDescent="0.15">
      <c r="A11">
        <v>2013</v>
      </c>
      <c r="B11" t="s">
        <v>11</v>
      </c>
      <c r="F11">
        <v>2015</v>
      </c>
      <c r="G11" t="s">
        <v>11</v>
      </c>
      <c r="K11">
        <v>2017</v>
      </c>
      <c r="L11" t="s">
        <v>11</v>
      </c>
      <c r="P11">
        <v>2019</v>
      </c>
      <c r="Q11" t="s">
        <v>11</v>
      </c>
      <c r="U11">
        <v>2016</v>
      </c>
      <c r="V11" t="s">
        <v>11</v>
      </c>
      <c r="Z11">
        <v>55</v>
      </c>
      <c r="AA11" t="s">
        <v>11</v>
      </c>
      <c r="AE11" s="33" t="s">
        <v>116</v>
      </c>
      <c r="AF11" t="s">
        <v>11</v>
      </c>
      <c r="AJ11" t="s">
        <v>11</v>
      </c>
      <c r="AK11">
        <f t="shared" si="0"/>
        <v>0</v>
      </c>
      <c r="AL11" s="13">
        <f t="shared" si="0"/>
        <v>0</v>
      </c>
      <c r="AM11" s="15" t="e">
        <f>SUM(Table73567910[[#This Row],[MILES6]]/AN42)</f>
        <v>#DIV/0!</v>
      </c>
      <c r="AN11" s="19" t="e">
        <f>SUM(Table73567910[[#This Row],[Tax Paid Fuel (Gallons)]]-Table73567910[[#This Row],[Taxable Fuel (Gallons)]])</f>
        <v>#DIV/0!</v>
      </c>
      <c r="AO11" s="12">
        <v>0.28499999999999998</v>
      </c>
      <c r="AP11" s="14" t="e">
        <f>SUM(Table73567910[[#This Row],[Net Taxable Fuel (Gallons)]]*Table73567910[[#This Row],[Tax Rate]])</f>
        <v>#DIV/0!</v>
      </c>
    </row>
    <row r="12" spans="1:42" x14ac:dyDescent="0.15">
      <c r="A12">
        <v>2013</v>
      </c>
      <c r="B12" s="7" t="s">
        <v>59</v>
      </c>
      <c r="F12">
        <v>2015</v>
      </c>
      <c r="G12" s="7" t="s">
        <v>59</v>
      </c>
      <c r="K12">
        <v>2017</v>
      </c>
      <c r="L12" s="7" t="s">
        <v>59</v>
      </c>
      <c r="P12">
        <v>2019</v>
      </c>
      <c r="Q12" s="7" t="s">
        <v>59</v>
      </c>
      <c r="U12">
        <v>2016</v>
      </c>
      <c r="V12" s="7" t="s">
        <v>59</v>
      </c>
      <c r="Z12">
        <v>55</v>
      </c>
      <c r="AA12" s="7" t="s">
        <v>59</v>
      </c>
      <c r="AE12" s="33" t="s">
        <v>116</v>
      </c>
      <c r="AF12" s="7" t="s">
        <v>59</v>
      </c>
      <c r="AJ12" s="7" t="s">
        <v>59</v>
      </c>
      <c r="AK12">
        <f t="shared" si="0"/>
        <v>0</v>
      </c>
      <c r="AL12" s="13">
        <f t="shared" si="0"/>
        <v>0</v>
      </c>
      <c r="AM12" s="15" t="e">
        <f>SUM(Table73567910[[#This Row],[MILES6]]/AN42)</f>
        <v>#DIV/0!</v>
      </c>
      <c r="AN12" s="19" t="e">
        <f>SUM(Table73567910[[#This Row],[Tax Paid Fuel (Gallons)]]-Table73567910[[#This Row],[Taxable Fuel (Gallons)]])</f>
        <v>#DIV/0!</v>
      </c>
      <c r="AO12" s="12">
        <v>0.4027</v>
      </c>
      <c r="AP12" s="14" t="e">
        <f>SUM(Table73567910[[#This Row],[Net Taxable Fuel (Gallons)]]*Table73567910[[#This Row],[Tax Rate]])</f>
        <v>#DIV/0!</v>
      </c>
    </row>
    <row r="13" spans="1:42" x14ac:dyDescent="0.15">
      <c r="A13">
        <v>2013</v>
      </c>
      <c r="B13" t="s">
        <v>32</v>
      </c>
      <c r="F13">
        <v>2015</v>
      </c>
      <c r="G13" t="s">
        <v>32</v>
      </c>
      <c r="K13">
        <v>2017</v>
      </c>
      <c r="L13" t="s">
        <v>32</v>
      </c>
      <c r="P13">
        <v>2019</v>
      </c>
      <c r="Q13" t="s">
        <v>32</v>
      </c>
      <c r="U13">
        <v>2016</v>
      </c>
      <c r="V13" t="s">
        <v>32</v>
      </c>
      <c r="Z13">
        <v>55</v>
      </c>
      <c r="AA13" t="s">
        <v>32</v>
      </c>
      <c r="AE13" s="33" t="s">
        <v>116</v>
      </c>
      <c r="AF13" t="s">
        <v>32</v>
      </c>
      <c r="AJ13" t="s">
        <v>32</v>
      </c>
      <c r="AK13">
        <f t="shared" si="0"/>
        <v>0</v>
      </c>
      <c r="AL13" s="13">
        <f t="shared" si="0"/>
        <v>0</v>
      </c>
      <c r="AM13" s="15" t="e">
        <f>SUM(Table73567910[[#This Row],[MILES6]]/AN42)</f>
        <v>#DIV/0!</v>
      </c>
      <c r="AN13" s="19" t="e">
        <f>SUM(Table73567910[[#This Row],[Tax Paid Fuel (Gallons)]]-Table73567910[[#This Row],[Taxable Fuel (Gallons)]])</f>
        <v>#DIV/0!</v>
      </c>
      <c r="AO13" s="12">
        <v>0.371</v>
      </c>
      <c r="AP13" s="14" t="e">
        <f>SUM(Table73567910[[#This Row],[Net Taxable Fuel (Gallons)]]*Table73567910[[#This Row],[Tax Rate]])</f>
        <v>#DIV/0!</v>
      </c>
    </row>
    <row r="14" spans="1:42" x14ac:dyDescent="0.15">
      <c r="A14">
        <v>2013</v>
      </c>
      <c r="B14" t="s">
        <v>22</v>
      </c>
      <c r="F14">
        <v>2015</v>
      </c>
      <c r="G14" t="s">
        <v>22</v>
      </c>
      <c r="K14">
        <v>2017</v>
      </c>
      <c r="L14" t="s">
        <v>22</v>
      </c>
      <c r="P14">
        <v>2019</v>
      </c>
      <c r="Q14" t="s">
        <v>22</v>
      </c>
      <c r="U14">
        <v>2016</v>
      </c>
      <c r="V14" t="s">
        <v>22</v>
      </c>
      <c r="Z14">
        <v>55</v>
      </c>
      <c r="AA14" t="s">
        <v>22</v>
      </c>
      <c r="AE14" s="33" t="s">
        <v>116</v>
      </c>
      <c r="AF14" t="s">
        <v>22</v>
      </c>
      <c r="AJ14" t="s">
        <v>22</v>
      </c>
      <c r="AK14">
        <f t="shared" si="0"/>
        <v>0</v>
      </c>
      <c r="AL14" s="13">
        <f t="shared" si="0"/>
        <v>0</v>
      </c>
      <c r="AM14" s="15" t="e">
        <f>SUM(Table73567910[[#This Row],[MILES6]]/AN42)</f>
        <v>#DIV/0!</v>
      </c>
      <c r="AN14" s="19" t="e">
        <f>SUM(Table73567910[[#This Row],[Tax Paid Fuel (Gallons)]]-Table73567910[[#This Row],[Taxable Fuel (Gallons)]])</f>
        <v>#DIV/0!</v>
      </c>
      <c r="AO14" s="12">
        <v>0.32500000000000001</v>
      </c>
      <c r="AP14" s="14" t="e">
        <f>SUM(Table73567910[[#This Row],[Net Taxable Fuel (Gallons)]]*Table73567910[[#This Row],[Tax Rate]])</f>
        <v>#DIV/0!</v>
      </c>
    </row>
    <row r="15" spans="1:42" x14ac:dyDescent="0.15">
      <c r="A15">
        <v>2013</v>
      </c>
      <c r="B15" t="s">
        <v>3</v>
      </c>
      <c r="F15">
        <v>2015</v>
      </c>
      <c r="G15" t="s">
        <v>3</v>
      </c>
      <c r="K15">
        <v>2017</v>
      </c>
      <c r="L15" t="s">
        <v>3</v>
      </c>
      <c r="P15">
        <v>2019</v>
      </c>
      <c r="Q15" t="s">
        <v>3</v>
      </c>
      <c r="U15">
        <v>2016</v>
      </c>
      <c r="V15" t="s">
        <v>3</v>
      </c>
      <c r="Z15">
        <v>55</v>
      </c>
      <c r="AA15" t="s">
        <v>3</v>
      </c>
      <c r="AE15" s="33" t="s">
        <v>116</v>
      </c>
      <c r="AF15" t="s">
        <v>3</v>
      </c>
      <c r="AJ15" t="s">
        <v>3</v>
      </c>
      <c r="AK15">
        <f t="shared" si="0"/>
        <v>0</v>
      </c>
      <c r="AL15" s="13">
        <f t="shared" si="0"/>
        <v>0</v>
      </c>
      <c r="AM15" s="15" t="e">
        <f>SUM(Table73567910[[#This Row],[MILES6]]/AN42)</f>
        <v>#DIV/0!</v>
      </c>
      <c r="AN15" s="19" t="e">
        <f>SUM(Table73567910[[#This Row],[Tax Paid Fuel (Gallons)]]-AM15)</f>
        <v>#DIV/0!</v>
      </c>
      <c r="AO15" s="12">
        <v>0.32</v>
      </c>
      <c r="AP15" s="14" t="e">
        <f>SUM(Table73567910[[#This Row],[Net Taxable Fuel (Gallons)]]*Table73567910[[#This Row],[Tax Rate]])</f>
        <v>#DIV/0!</v>
      </c>
    </row>
    <row r="16" spans="1:42" x14ac:dyDescent="0.15">
      <c r="A16">
        <v>2013</v>
      </c>
      <c r="B16" t="s">
        <v>23</v>
      </c>
      <c r="F16">
        <v>2015</v>
      </c>
      <c r="G16" t="s">
        <v>23</v>
      </c>
      <c r="K16">
        <v>2017</v>
      </c>
      <c r="L16" t="s">
        <v>23</v>
      </c>
      <c r="P16">
        <v>2019</v>
      </c>
      <c r="Q16" t="s">
        <v>23</v>
      </c>
      <c r="U16">
        <v>2016</v>
      </c>
      <c r="V16" t="s">
        <v>23</v>
      </c>
      <c r="Z16">
        <v>55</v>
      </c>
      <c r="AA16" t="s">
        <v>23</v>
      </c>
      <c r="AE16" s="33" t="s">
        <v>116</v>
      </c>
      <c r="AF16" t="s">
        <v>23</v>
      </c>
      <c r="AJ16" t="s">
        <v>23</v>
      </c>
      <c r="AK16">
        <f t="shared" si="0"/>
        <v>0</v>
      </c>
      <c r="AL16" s="13">
        <f t="shared" si="0"/>
        <v>0</v>
      </c>
      <c r="AM16" s="15" t="e">
        <f>SUM(Table73567910[[#This Row],[MILES6]]/AN42)</f>
        <v>#DIV/0!</v>
      </c>
      <c r="AN16" s="19" t="e">
        <f>SUM(Table73567910[[#This Row],[Tax Paid Fuel (Gallons)]]-Table73567910[[#This Row],[Taxable Fuel (Gallons)]])</f>
        <v>#DIV/0!</v>
      </c>
      <c r="AO16" s="12">
        <v>0.73599999999999999</v>
      </c>
      <c r="AP16" s="14" t="e">
        <f>SUM(Table73567910[[#This Row],[Net Taxable Fuel (Gallons)]]*Table73567910[[#This Row],[Tax Rate]])</f>
        <v>#DIV/0!</v>
      </c>
    </row>
    <row r="17" spans="1:42" x14ac:dyDescent="0.15">
      <c r="A17">
        <v>2013</v>
      </c>
      <c r="B17" t="s">
        <v>24</v>
      </c>
      <c r="F17">
        <v>2015</v>
      </c>
      <c r="G17" t="s">
        <v>24</v>
      </c>
      <c r="K17">
        <v>2017</v>
      </c>
      <c r="L17" t="s">
        <v>24</v>
      </c>
      <c r="P17">
        <v>2019</v>
      </c>
      <c r="Q17" t="s">
        <v>24</v>
      </c>
      <c r="U17">
        <v>2016</v>
      </c>
      <c r="V17" t="s">
        <v>24</v>
      </c>
      <c r="Z17">
        <v>55</v>
      </c>
      <c r="AA17" t="s">
        <v>24</v>
      </c>
      <c r="AE17" s="33" t="s">
        <v>116</v>
      </c>
      <c r="AF17" t="s">
        <v>24</v>
      </c>
      <c r="AJ17" t="s">
        <v>24</v>
      </c>
      <c r="AK17">
        <f t="shared" si="0"/>
        <v>0</v>
      </c>
      <c r="AL17" s="13">
        <f t="shared" si="0"/>
        <v>0</v>
      </c>
      <c r="AM17" s="15" t="e">
        <f>SUM(Table73567910[[#This Row],[MILES6]]/AN42)</f>
        <v>#DIV/0!</v>
      </c>
      <c r="AN17" s="19" t="e">
        <f>SUM(Table73567910[[#This Row],[Tax Paid Fuel (Gallons)]]-Table73567910[[#This Row],[Taxable Fuel (Gallons)]])</f>
        <v>#DIV/0!</v>
      </c>
      <c r="AO17" s="12">
        <v>0.59</v>
      </c>
      <c r="AP17" s="14" t="e">
        <f>SUM(Table73567910[[#This Row],[Net Taxable Fuel (Gallons)]]*Table73567910[[#This Row],[Tax Rate]])</f>
        <v>#DIV/0!</v>
      </c>
    </row>
    <row r="18" spans="1:42" x14ac:dyDescent="0.15">
      <c r="A18">
        <v>2013</v>
      </c>
      <c r="B18" t="s">
        <v>25</v>
      </c>
      <c r="F18">
        <v>2015</v>
      </c>
      <c r="G18" t="s">
        <v>25</v>
      </c>
      <c r="K18">
        <v>2017</v>
      </c>
      <c r="L18" t="s">
        <v>25</v>
      </c>
      <c r="P18">
        <v>2019</v>
      </c>
      <c r="Q18" t="s">
        <v>25</v>
      </c>
      <c r="U18">
        <v>2016</v>
      </c>
      <c r="V18" t="s">
        <v>25</v>
      </c>
      <c r="Z18">
        <v>55</v>
      </c>
      <c r="AA18" t="s">
        <v>25</v>
      </c>
      <c r="AE18" s="33" t="s">
        <v>116</v>
      </c>
      <c r="AF18" t="s">
        <v>25</v>
      </c>
      <c r="AJ18" t="s">
        <v>25</v>
      </c>
      <c r="AK18">
        <f t="shared" si="0"/>
        <v>0</v>
      </c>
      <c r="AL18" s="13">
        <f t="shared" si="0"/>
        <v>0</v>
      </c>
      <c r="AM18" s="15" t="e">
        <f>SUM(Table73567910[[#This Row],[MILES6]]/AN42)</f>
        <v>#DIV/0!</v>
      </c>
      <c r="AN18" s="19" t="e">
        <f>SUM(Table73567910[[#This Row],[Tax Paid Fuel (Gallons)]]-Table73567910[[#This Row],[Taxable Fuel (Gallons)]])</f>
        <v>#DIV/0!</v>
      </c>
      <c r="AO18" s="12">
        <v>0.26</v>
      </c>
      <c r="AP18" s="14" t="e">
        <f>SUM(Table73567910[[#This Row],[Net Taxable Fuel (Gallons)]]*Table73567910[[#This Row],[Tax Rate]])</f>
        <v>#DIV/0!</v>
      </c>
    </row>
    <row r="19" spans="1:42" x14ac:dyDescent="0.15">
      <c r="A19">
        <v>2013</v>
      </c>
      <c r="B19" t="s">
        <v>26</v>
      </c>
      <c r="F19">
        <v>2015</v>
      </c>
      <c r="G19" t="s">
        <v>26</v>
      </c>
      <c r="K19">
        <v>2017</v>
      </c>
      <c r="L19" t="s">
        <v>26</v>
      </c>
      <c r="P19">
        <v>2019</v>
      </c>
      <c r="Q19" t="s">
        <v>26</v>
      </c>
      <c r="U19">
        <v>2016</v>
      </c>
      <c r="V19" t="s">
        <v>26</v>
      </c>
      <c r="Z19">
        <v>55</v>
      </c>
      <c r="AA19" t="s">
        <v>26</v>
      </c>
      <c r="AE19" s="33" t="s">
        <v>116</v>
      </c>
      <c r="AF19" t="s">
        <v>26</v>
      </c>
      <c r="AJ19" t="s">
        <v>26</v>
      </c>
      <c r="AK19">
        <f t="shared" si="0"/>
        <v>0</v>
      </c>
      <c r="AL19" s="13">
        <f t="shared" si="0"/>
        <v>0</v>
      </c>
      <c r="AM19" s="15" t="e">
        <f>SUM(Table73567910[[#This Row],[MILES6]]/AN42)</f>
        <v>#DIV/0!</v>
      </c>
      <c r="AN19" s="19" t="e">
        <f>SUM(Table73567910[[#This Row],[Tax Paid Fuel (Gallons)]]-Table73567910[[#This Row],[Taxable Fuel (Gallons)]])</f>
        <v>#DIV/0!</v>
      </c>
      <c r="AO19" s="12">
        <v>0.23400000000000001</v>
      </c>
      <c r="AP19" s="14" t="e">
        <f>SUM(Table73567910[[#This Row],[Net Taxable Fuel (Gallons)]]*Table73567910[[#This Row],[Tax Rate]])</f>
        <v>#DIV/0!</v>
      </c>
    </row>
    <row r="20" spans="1:42" x14ac:dyDescent="0.15">
      <c r="A20">
        <v>2013</v>
      </c>
      <c r="B20" t="s">
        <v>54</v>
      </c>
      <c r="F20">
        <v>2015</v>
      </c>
      <c r="G20" t="s">
        <v>54</v>
      </c>
      <c r="K20">
        <v>2017</v>
      </c>
      <c r="L20" t="s">
        <v>54</v>
      </c>
      <c r="P20">
        <v>2019</v>
      </c>
      <c r="Q20" t="s">
        <v>54</v>
      </c>
      <c r="U20">
        <v>2016</v>
      </c>
      <c r="V20" t="s">
        <v>54</v>
      </c>
      <c r="Z20">
        <v>55</v>
      </c>
      <c r="AA20" t="s">
        <v>54</v>
      </c>
      <c r="AE20" s="33" t="s">
        <v>116</v>
      </c>
      <c r="AF20" t="s">
        <v>54</v>
      </c>
      <c r="AJ20" t="s">
        <v>54</v>
      </c>
      <c r="AK20">
        <f t="shared" si="0"/>
        <v>0</v>
      </c>
      <c r="AL20" s="13">
        <f t="shared" si="0"/>
        <v>0</v>
      </c>
      <c r="AM20" s="15" t="e">
        <f>SUM(Table73567910[[#This Row],[MILES6]]/AN42)</f>
        <v>#DIV/0!</v>
      </c>
      <c r="AN20" s="19" t="e">
        <f>SUM(Table73567910[[#This Row],[Tax Paid Fuel (Gallons)]]-Table73567910[[#This Row],[Taxable Fuel (Gallons)]])</f>
        <v>#DIV/0!</v>
      </c>
      <c r="AO20" s="12">
        <v>0.2</v>
      </c>
      <c r="AP20" s="14" t="e">
        <f>SUM(Table73567910[[#This Row],[Net Taxable Fuel (Gallons)]]*Table73567910[[#This Row],[Tax Rate]])</f>
        <v>#DIV/0!</v>
      </c>
    </row>
    <row r="21" spans="1:42" x14ac:dyDescent="0.15">
      <c r="A21">
        <v>2013</v>
      </c>
      <c r="B21" t="s">
        <v>55</v>
      </c>
      <c r="F21">
        <v>2015</v>
      </c>
      <c r="G21" t="s">
        <v>55</v>
      </c>
      <c r="K21">
        <v>2017</v>
      </c>
      <c r="L21" t="s">
        <v>55</v>
      </c>
      <c r="P21">
        <v>2019</v>
      </c>
      <c r="Q21" t="s">
        <v>55</v>
      </c>
      <c r="U21">
        <v>2016</v>
      </c>
      <c r="V21" t="s">
        <v>55</v>
      </c>
      <c r="Z21">
        <v>55</v>
      </c>
      <c r="AA21" t="s">
        <v>55</v>
      </c>
      <c r="AE21" s="33" t="s">
        <v>116</v>
      </c>
      <c r="AF21" t="s">
        <v>55</v>
      </c>
      <c r="AJ21" t="s">
        <v>55</v>
      </c>
      <c r="AK21">
        <f t="shared" si="0"/>
        <v>0</v>
      </c>
      <c r="AL21" s="13">
        <f t="shared" si="0"/>
        <v>0</v>
      </c>
      <c r="AM21" s="15" t="e">
        <f>SUM(Table73567910[[#This Row],[MILES6]]/AN42)</f>
        <v>#DIV/0!</v>
      </c>
      <c r="AN21" s="19" t="e">
        <f>SUM(Table73567910[[#This Row],[Tax Paid Fuel (Gallons)]]-Table73567910[[#This Row],[Taxable Fuel (Gallons)]])</f>
        <v>#DIV/0!</v>
      </c>
      <c r="AO21" s="12">
        <v>0.318</v>
      </c>
      <c r="AP21" s="14" t="e">
        <f>SUM(Table73567910[[#This Row],[Net Taxable Fuel (Gallons)]]*Table73567910[[#This Row],[Tax Rate]])</f>
        <v>#DIV/0!</v>
      </c>
    </row>
    <row r="22" spans="1:42" x14ac:dyDescent="0.15">
      <c r="A22">
        <v>2013</v>
      </c>
      <c r="B22" s="7" t="s">
        <v>28</v>
      </c>
      <c r="F22">
        <v>2015</v>
      </c>
      <c r="G22" s="7" t="s">
        <v>28</v>
      </c>
      <c r="K22">
        <v>2017</v>
      </c>
      <c r="L22" s="7" t="s">
        <v>28</v>
      </c>
      <c r="P22">
        <v>2019</v>
      </c>
      <c r="Q22" s="7" t="s">
        <v>28</v>
      </c>
      <c r="U22">
        <v>2016</v>
      </c>
      <c r="V22" s="7" t="s">
        <v>28</v>
      </c>
      <c r="Z22">
        <v>55</v>
      </c>
      <c r="AA22" s="7" t="s">
        <v>28</v>
      </c>
      <c r="AE22" s="33" t="s">
        <v>116</v>
      </c>
      <c r="AF22" s="7" t="s">
        <v>28</v>
      </c>
      <c r="AJ22" s="7" t="s">
        <v>28</v>
      </c>
      <c r="AK22">
        <f t="shared" si="0"/>
        <v>0</v>
      </c>
      <c r="AL22" s="13">
        <f t="shared" si="0"/>
        <v>0</v>
      </c>
      <c r="AM22" s="15" t="e">
        <f>SUM(Table73567910[[#This Row],[MILES6]]/AN42)</f>
        <v>#DIV/0!</v>
      </c>
      <c r="AN22" s="19" t="e">
        <f>SUM(Table73567910[[#This Row],[Tax Paid Fuel (Gallons)]]-Table73567910[[#This Row],[Taxable Fuel (Gallons)]])</f>
        <v>#DIV/0!</v>
      </c>
      <c r="AO22" s="12">
        <v>0.18</v>
      </c>
      <c r="AP22" s="14" t="e">
        <f>SUM(Table73567910[[#This Row],[Net Taxable Fuel (Gallons)]]*Table73567910[[#This Row],[Tax Rate]])</f>
        <v>#DIV/0!</v>
      </c>
    </row>
    <row r="23" spans="1:42" x14ac:dyDescent="0.15">
      <c r="A23">
        <v>2013</v>
      </c>
      <c r="B23" t="s">
        <v>27</v>
      </c>
      <c r="F23">
        <v>2015</v>
      </c>
      <c r="G23" t="s">
        <v>27</v>
      </c>
      <c r="K23">
        <v>2017</v>
      </c>
      <c r="L23" t="s">
        <v>27</v>
      </c>
      <c r="P23">
        <v>2019</v>
      </c>
      <c r="Q23" t="s">
        <v>27</v>
      </c>
      <c r="U23">
        <v>2016</v>
      </c>
      <c r="V23" t="s">
        <v>27</v>
      </c>
      <c r="Z23">
        <v>55</v>
      </c>
      <c r="AA23" t="s">
        <v>27</v>
      </c>
      <c r="AE23" s="33" t="s">
        <v>116</v>
      </c>
      <c r="AF23" t="s">
        <v>27</v>
      </c>
      <c r="AJ23" t="s">
        <v>27</v>
      </c>
      <c r="AK23">
        <f t="shared" si="0"/>
        <v>0</v>
      </c>
      <c r="AL23" s="13">
        <f t="shared" si="0"/>
        <v>0</v>
      </c>
      <c r="AM23" s="15" t="e">
        <f>SUM(Table73567910[[#This Row],[MILES6]]/AN42)</f>
        <v>#DIV/0!</v>
      </c>
      <c r="AN23" s="19" t="e">
        <f>SUM(Table73567910[[#This Row],[Tax Paid Fuel (Gallons)]]-AM23)</f>
        <v>#DIV/0!</v>
      </c>
      <c r="AO23" s="12">
        <v>0.27</v>
      </c>
      <c r="AP23" s="14" t="e">
        <f>SUM(Table73567910[[#This Row],[Net Taxable Fuel (Gallons)]]*Table73567910[[#This Row],[Tax Rate]])</f>
        <v>#DIV/0!</v>
      </c>
    </row>
    <row r="24" spans="1:42" x14ac:dyDescent="0.15">
      <c r="A24">
        <v>2013</v>
      </c>
      <c r="B24" t="s">
        <v>4</v>
      </c>
      <c r="F24">
        <v>2015</v>
      </c>
      <c r="G24" t="s">
        <v>4</v>
      </c>
      <c r="K24">
        <v>2017</v>
      </c>
      <c r="L24" t="s">
        <v>4</v>
      </c>
      <c r="P24">
        <v>2019</v>
      </c>
      <c r="Q24" t="s">
        <v>4</v>
      </c>
      <c r="U24">
        <v>2016</v>
      </c>
      <c r="V24" t="s">
        <v>4</v>
      </c>
      <c r="Z24">
        <v>55</v>
      </c>
      <c r="AA24" t="s">
        <v>4</v>
      </c>
      <c r="AE24" s="33" t="s">
        <v>116</v>
      </c>
      <c r="AF24" t="s">
        <v>4</v>
      </c>
      <c r="AJ24" t="s">
        <v>4</v>
      </c>
      <c r="AK24">
        <f t="shared" si="0"/>
        <v>0</v>
      </c>
      <c r="AL24" s="13">
        <f t="shared" si="0"/>
        <v>0</v>
      </c>
      <c r="AM24" s="15" t="e">
        <f>SUM(Table73567910[[#This Row],[MILES6]]/AN42)</f>
        <v>#DIV/0!</v>
      </c>
      <c r="AN24" s="19" t="e">
        <f>SUM(Table73567910[[#This Row],[Tax Paid Fuel (Gallons)]]-Table73567910[[#This Row],[Taxable Fuel (Gallons)]])</f>
        <v>#DIV/0!</v>
      </c>
      <c r="AO24" s="12">
        <v>0.29749999999999999</v>
      </c>
      <c r="AP24" s="14" t="e">
        <f>SUM(Table73567910[[#This Row],[Net Taxable Fuel (Gallons)]]*Table73567910[[#This Row],[Tax Rate]])</f>
        <v>#DIV/0!</v>
      </c>
    </row>
    <row r="25" spans="1:42" x14ac:dyDescent="0.15">
      <c r="A25">
        <v>2013</v>
      </c>
      <c r="B25" t="s">
        <v>33</v>
      </c>
      <c r="F25">
        <v>2015</v>
      </c>
      <c r="G25" t="s">
        <v>33</v>
      </c>
      <c r="K25">
        <v>2017</v>
      </c>
      <c r="L25" t="s">
        <v>33</v>
      </c>
      <c r="P25">
        <v>2019</v>
      </c>
      <c r="Q25" t="s">
        <v>33</v>
      </c>
      <c r="U25">
        <v>2016</v>
      </c>
      <c r="V25" t="s">
        <v>33</v>
      </c>
      <c r="Z25">
        <v>55</v>
      </c>
      <c r="AA25" t="s">
        <v>33</v>
      </c>
      <c r="AE25" s="33" t="s">
        <v>116</v>
      </c>
      <c r="AF25" t="s">
        <v>33</v>
      </c>
      <c r="AJ25" t="s">
        <v>33</v>
      </c>
      <c r="AK25">
        <f t="shared" si="0"/>
        <v>0</v>
      </c>
      <c r="AL25" s="13">
        <f t="shared" si="0"/>
        <v>0</v>
      </c>
      <c r="AM25" s="15" t="e">
        <f>SUM(Table73567910[[#This Row],[MILES6]]/AN42)</f>
        <v>#DIV/0!</v>
      </c>
      <c r="AN25" s="19" t="e">
        <f>SUM(Table73567910[[#This Row],[Tax Paid Fuel (Gallons)]]-AM25)</f>
        <v>#DIV/0!</v>
      </c>
      <c r="AO25" s="12">
        <v>0.40300000000000002</v>
      </c>
      <c r="AP25" s="14" t="e">
        <f>SUM(Table73567910[[#This Row],[Net Taxable Fuel (Gallons)]]*Table73567910[[#This Row],[Tax Rate]])</f>
        <v>#DIV/0!</v>
      </c>
    </row>
    <row r="26" spans="1:42" x14ac:dyDescent="0.15">
      <c r="A26">
        <v>2013</v>
      </c>
      <c r="B26" t="s">
        <v>13</v>
      </c>
      <c r="F26">
        <v>2015</v>
      </c>
      <c r="G26" t="s">
        <v>13</v>
      </c>
      <c r="K26">
        <v>2017</v>
      </c>
      <c r="L26" t="s">
        <v>13</v>
      </c>
      <c r="P26">
        <v>2019</v>
      </c>
      <c r="Q26" t="s">
        <v>13</v>
      </c>
      <c r="U26">
        <v>2016</v>
      </c>
      <c r="V26" t="s">
        <v>13</v>
      </c>
      <c r="Z26">
        <v>55</v>
      </c>
      <c r="AA26" t="s">
        <v>13</v>
      </c>
      <c r="AE26" s="33" t="s">
        <v>116</v>
      </c>
      <c r="AF26" t="s">
        <v>13</v>
      </c>
      <c r="AJ26" t="s">
        <v>13</v>
      </c>
      <c r="AK26">
        <f t="shared" si="0"/>
        <v>0</v>
      </c>
      <c r="AL26" s="13">
        <f t="shared" si="0"/>
        <v>0</v>
      </c>
      <c r="AM26" s="15" t="e">
        <f>SUM(Table73567910[[#This Row],[MILES6]]/AN42)</f>
        <v>#DIV/0!</v>
      </c>
      <c r="AN26" s="19" t="e">
        <f>SUM(Table73567910[[#This Row],[Tax Paid Fuel (Gallons)]]-Table73567910[[#This Row],[Taxable Fuel (Gallons)]])</f>
        <v>#DIV/0!</v>
      </c>
      <c r="AO26" s="12">
        <v>0.30399999999999999</v>
      </c>
      <c r="AP26" s="14" t="e">
        <f>SUM(Table73567910[[#This Row],[Net Taxable Fuel (Gallons)]]*Table73567910[[#This Row],[Tax Rate]])</f>
        <v>#DIV/0!</v>
      </c>
    </row>
    <row r="27" spans="1:42" x14ac:dyDescent="0.15">
      <c r="A27">
        <v>2013</v>
      </c>
      <c r="B27" t="s">
        <v>14</v>
      </c>
      <c r="F27">
        <v>2015</v>
      </c>
      <c r="G27" t="s">
        <v>14</v>
      </c>
      <c r="K27">
        <v>2017</v>
      </c>
      <c r="L27" t="s">
        <v>14</v>
      </c>
      <c r="P27">
        <v>2019</v>
      </c>
      <c r="Q27" t="s">
        <v>14</v>
      </c>
      <c r="U27">
        <v>2016</v>
      </c>
      <c r="V27" t="s">
        <v>14</v>
      </c>
      <c r="Z27">
        <v>55</v>
      </c>
      <c r="AA27" t="s">
        <v>14</v>
      </c>
      <c r="AE27" s="33" t="s">
        <v>116</v>
      </c>
      <c r="AF27" t="s">
        <v>14</v>
      </c>
      <c r="AJ27" t="s">
        <v>14</v>
      </c>
      <c r="AK27">
        <f t="shared" si="0"/>
        <v>0</v>
      </c>
      <c r="AL27" s="13">
        <f t="shared" si="0"/>
        <v>0</v>
      </c>
      <c r="AM27" s="15" t="e">
        <f>SUM(Table73567910[[#This Row],[MILES6]]/AN42)</f>
        <v>#DIV/0!</v>
      </c>
      <c r="AN27" s="19" t="e">
        <f>SUM(Table73567910[[#This Row],[Tax Paid Fuel (Gallons)]]-Table73567910[[#This Row],[Taxable Fuel (Gallons)]])</f>
        <v>#DIV/0!</v>
      </c>
      <c r="AO27" s="12">
        <v>0.21</v>
      </c>
      <c r="AP27" s="14" t="e">
        <f>SUM(Table73567910[[#This Row],[Net Taxable Fuel (Gallons)]]*Table73567910[[#This Row],[Tax Rate]])</f>
        <v>#DIV/0!</v>
      </c>
    </row>
    <row r="28" spans="1:42" x14ac:dyDescent="0.15">
      <c r="A28">
        <v>2013</v>
      </c>
      <c r="B28" t="s">
        <v>12</v>
      </c>
      <c r="F28">
        <v>2015</v>
      </c>
      <c r="G28" t="s">
        <v>12</v>
      </c>
      <c r="K28">
        <v>2017</v>
      </c>
      <c r="L28" t="s">
        <v>12</v>
      </c>
      <c r="P28">
        <v>2019</v>
      </c>
      <c r="Q28" t="s">
        <v>12</v>
      </c>
      <c r="U28">
        <v>2016</v>
      </c>
      <c r="V28" t="s">
        <v>12</v>
      </c>
      <c r="Z28">
        <v>55</v>
      </c>
      <c r="AA28" t="s">
        <v>12</v>
      </c>
      <c r="AE28" s="33" t="s">
        <v>116</v>
      </c>
      <c r="AF28" t="s">
        <v>12</v>
      </c>
      <c r="AJ28" t="s">
        <v>12</v>
      </c>
      <c r="AK28">
        <f t="shared" si="0"/>
        <v>0</v>
      </c>
      <c r="AL28" s="13">
        <f t="shared" si="0"/>
        <v>0</v>
      </c>
      <c r="AM28" s="15" t="e">
        <f>SUM(Table73567910[[#This Row],[MILES6]]/AN42)</f>
        <v>#DIV/0!</v>
      </c>
      <c r="AN28" s="19" t="e">
        <f>SUM(Table73567910[[#This Row],[Tax Paid Fuel (Gallons)]]-Table73567910[[#This Row],[Taxable Fuel (Gallons)]])</f>
        <v>#DIV/0!</v>
      </c>
      <c r="AO28" s="12">
        <v>0.23</v>
      </c>
      <c r="AP28" s="14" t="e">
        <f>SUM(Table73567910[[#This Row],[Net Taxable Fuel (Gallons)]]*Table73567910[[#This Row],[Tax Rate]])</f>
        <v>#DIV/0!</v>
      </c>
    </row>
    <row r="29" spans="1:42" x14ac:dyDescent="0.15">
      <c r="A29">
        <v>2013</v>
      </c>
      <c r="B29" t="s">
        <v>5</v>
      </c>
      <c r="F29">
        <v>2015</v>
      </c>
      <c r="G29" t="s">
        <v>5</v>
      </c>
      <c r="K29">
        <v>2017</v>
      </c>
      <c r="L29" t="s">
        <v>5</v>
      </c>
      <c r="P29">
        <v>2019</v>
      </c>
      <c r="Q29" t="s">
        <v>5</v>
      </c>
      <c r="U29">
        <v>2016</v>
      </c>
      <c r="V29" t="s">
        <v>5</v>
      </c>
      <c r="Z29">
        <v>55</v>
      </c>
      <c r="AA29" t="s">
        <v>5</v>
      </c>
      <c r="AE29" s="33" t="s">
        <v>116</v>
      </c>
      <c r="AF29" t="s">
        <v>5</v>
      </c>
      <c r="AJ29" t="s">
        <v>5</v>
      </c>
      <c r="AK29">
        <f t="shared" si="0"/>
        <v>0</v>
      </c>
      <c r="AL29" s="13">
        <f t="shared" si="0"/>
        <v>0</v>
      </c>
      <c r="AM29" s="15" t="e">
        <f>SUM(Table73567910[[#This Row],[MILES6]]/AN42)</f>
        <v>#DIV/0!</v>
      </c>
      <c r="AN29" s="19" t="e">
        <f>SUM(Table73567910[[#This Row],[Tax Paid Fuel (Gallons)]]-Table73567910[[#This Row],[Taxable Fuel (Gallons)]])</f>
        <v>#DIV/0!</v>
      </c>
      <c r="AO29" s="12">
        <v>0.27</v>
      </c>
      <c r="AP29" s="14" t="e">
        <f>SUM(Table73567910[[#This Row],[Net Taxable Fuel (Gallons)]]*Table73567910[[#This Row],[Tax Rate]])</f>
        <v>#DIV/0!</v>
      </c>
    </row>
    <row r="30" spans="1:42" x14ac:dyDescent="0.15">
      <c r="A30">
        <v>2013</v>
      </c>
      <c r="B30" t="s">
        <v>29</v>
      </c>
      <c r="F30">
        <v>2015</v>
      </c>
      <c r="G30" t="s">
        <v>29</v>
      </c>
      <c r="K30">
        <v>2017</v>
      </c>
      <c r="L30" t="s">
        <v>29</v>
      </c>
      <c r="P30">
        <v>2019</v>
      </c>
      <c r="Q30" t="s">
        <v>29</v>
      </c>
      <c r="U30">
        <v>2016</v>
      </c>
      <c r="V30" t="s">
        <v>29</v>
      </c>
      <c r="Z30">
        <v>55</v>
      </c>
      <c r="AA30" t="s">
        <v>29</v>
      </c>
      <c r="AE30" s="33" t="s">
        <v>116</v>
      </c>
      <c r="AF30" t="s">
        <v>29</v>
      </c>
      <c r="AJ30" t="s">
        <v>29</v>
      </c>
      <c r="AK30">
        <f t="shared" si="0"/>
        <v>0</v>
      </c>
      <c r="AL30" s="13">
        <f t="shared" si="0"/>
        <v>0</v>
      </c>
      <c r="AM30" s="15" t="e">
        <f>SUM(Table73567910[[#This Row],[MILES6]]/AN42)</f>
        <v>#DIV/0!</v>
      </c>
      <c r="AN30" s="19" t="e">
        <f>SUM(Table73567910[[#This Row],[Tax Paid Fuel (Gallons)]]-Table73567910[[#This Row],[Taxable Fuel (Gallons)]])</f>
        <v>#DIV/0!</v>
      </c>
      <c r="AO30" s="12">
        <v>0.47</v>
      </c>
      <c r="AP30" s="14" t="e">
        <f>SUM(Table73567910[[#This Row],[Net Taxable Fuel (Gallons)]]*Table73567910[[#This Row],[Tax Rate]])</f>
        <v>#DIV/0!</v>
      </c>
    </row>
    <row r="31" spans="1:42" x14ac:dyDescent="0.15">
      <c r="A31">
        <v>2013</v>
      </c>
      <c r="B31" t="s">
        <v>15</v>
      </c>
      <c r="F31">
        <v>2015</v>
      </c>
      <c r="G31" t="s">
        <v>15</v>
      </c>
      <c r="K31">
        <v>2017</v>
      </c>
      <c r="L31" t="s">
        <v>15</v>
      </c>
      <c r="P31">
        <v>2019</v>
      </c>
      <c r="Q31" t="s">
        <v>15</v>
      </c>
      <c r="U31">
        <v>2016</v>
      </c>
      <c r="V31" t="s">
        <v>15</v>
      </c>
      <c r="Z31">
        <v>55</v>
      </c>
      <c r="AA31" t="s">
        <v>15</v>
      </c>
      <c r="AE31" s="33" t="s">
        <v>116</v>
      </c>
      <c r="AF31" t="s">
        <v>15</v>
      </c>
      <c r="AJ31" t="s">
        <v>15</v>
      </c>
      <c r="AK31">
        <f t="shared" si="0"/>
        <v>0</v>
      </c>
      <c r="AL31" s="13">
        <f t="shared" si="0"/>
        <v>0</v>
      </c>
      <c r="AM31" s="15" t="e">
        <f>SUM(Table73567910[[#This Row],[MILES6]]/AN42)</f>
        <v>#DIV/0!</v>
      </c>
      <c r="AN31" s="19" t="e">
        <f>SUM(Table73567910[[#This Row],[Tax Paid Fuel (Gallons)]]-Table73567910[[#This Row],[Taxable Fuel (Gallons)]])</f>
        <v>#DIV/0!</v>
      </c>
      <c r="AO31" s="12">
        <v>0.19</v>
      </c>
      <c r="AP31" s="14" t="e">
        <f>SUM(Table73567910[[#This Row],[Net Taxable Fuel (Gallons)]]*Table73567910[[#This Row],[Tax Rate]])</f>
        <v>#DIV/0!</v>
      </c>
    </row>
    <row r="32" spans="1:42" x14ac:dyDescent="0.15">
      <c r="A32">
        <v>2013</v>
      </c>
      <c r="B32" t="s">
        <v>6</v>
      </c>
      <c r="F32">
        <v>2015</v>
      </c>
      <c r="G32" t="s">
        <v>6</v>
      </c>
      <c r="K32">
        <v>2017</v>
      </c>
      <c r="L32" t="s">
        <v>6</v>
      </c>
      <c r="P32">
        <v>2019</v>
      </c>
      <c r="Q32" t="s">
        <v>6</v>
      </c>
      <c r="U32">
        <v>2016</v>
      </c>
      <c r="V32" t="s">
        <v>6</v>
      </c>
      <c r="Z32">
        <v>55</v>
      </c>
      <c r="AA32" t="s">
        <v>6</v>
      </c>
      <c r="AE32" s="33" t="s">
        <v>116</v>
      </c>
      <c r="AF32" t="s">
        <v>6</v>
      </c>
      <c r="AJ32" t="s">
        <v>6</v>
      </c>
      <c r="AK32">
        <f t="shared" si="0"/>
        <v>0</v>
      </c>
      <c r="AL32" s="13">
        <f t="shared" si="0"/>
        <v>0</v>
      </c>
      <c r="AM32" s="15" t="e">
        <f>SUM(Table73567910[[#This Row],[MILES6]]/AN42)</f>
        <v>#DIV/0!</v>
      </c>
      <c r="AN32" s="19" t="e">
        <f>SUM(Table73567910[[#This Row],[Tax Paid Fuel (Gallons)]]-Table73567910[[#This Row],[Taxable Fuel (Gallons)]])</f>
        <v>#DIV/0!</v>
      </c>
      <c r="AO32" s="12">
        <v>0</v>
      </c>
      <c r="AP32" s="14" t="e">
        <f>SUM(Table73567910[[#This Row],[Net Taxable Fuel (Gallons)]]*Table73567910[[#This Row],[Tax Rate]])</f>
        <v>#DIV/0!</v>
      </c>
    </row>
    <row r="33" spans="1:42" x14ac:dyDescent="0.15">
      <c r="A33">
        <v>2013</v>
      </c>
      <c r="B33" t="s">
        <v>34</v>
      </c>
      <c r="F33">
        <v>2015</v>
      </c>
      <c r="G33" t="s">
        <v>34</v>
      </c>
      <c r="K33">
        <v>2017</v>
      </c>
      <c r="L33" t="s">
        <v>34</v>
      </c>
      <c r="P33">
        <v>2019</v>
      </c>
      <c r="Q33" t="s">
        <v>34</v>
      </c>
      <c r="U33">
        <v>2016</v>
      </c>
      <c r="V33" t="s">
        <v>34</v>
      </c>
      <c r="Z33">
        <v>55</v>
      </c>
      <c r="AA33" t="s">
        <v>34</v>
      </c>
      <c r="AE33" s="33" t="s">
        <v>116</v>
      </c>
      <c r="AF33" t="s">
        <v>34</v>
      </c>
      <c r="AJ33" t="s">
        <v>34</v>
      </c>
      <c r="AK33">
        <f t="shared" si="0"/>
        <v>0</v>
      </c>
      <c r="AL33" s="13">
        <f t="shared" si="0"/>
        <v>0</v>
      </c>
      <c r="AM33" s="15" t="e">
        <f>SUM(Table73567910[[#This Row],[MILES6]]/AN42)</f>
        <v>#DIV/0!</v>
      </c>
      <c r="AN33" s="19" t="e">
        <f>SUM(Table73567910[[#This Row],[Tax Paid Fuel (Gallons)]]-Table73567910[[#This Row],[Taxable Fuel (Gallons)]])</f>
        <v>#DIV/0!</v>
      </c>
      <c r="AO33" s="12">
        <v>0.28000000000000003</v>
      </c>
      <c r="AP33" s="14" t="e">
        <f>SUM(Table73567910[[#This Row],[Net Taxable Fuel (Gallons)]]*Table73567910[[#This Row],[Tax Rate]])</f>
        <v>#DIV/0!</v>
      </c>
    </row>
    <row r="34" spans="1:42" x14ac:dyDescent="0.15">
      <c r="A34">
        <v>2013</v>
      </c>
      <c r="B34" t="s">
        <v>16</v>
      </c>
      <c r="F34">
        <v>2015</v>
      </c>
      <c r="G34" t="s">
        <v>16</v>
      </c>
      <c r="K34">
        <v>2017</v>
      </c>
      <c r="L34" t="s">
        <v>16</v>
      </c>
      <c r="P34">
        <v>2019</v>
      </c>
      <c r="Q34" t="s">
        <v>16</v>
      </c>
      <c r="U34">
        <v>2016</v>
      </c>
      <c r="V34" t="s">
        <v>16</v>
      </c>
      <c r="Z34">
        <v>55</v>
      </c>
      <c r="AA34" t="s">
        <v>16</v>
      </c>
      <c r="AE34" s="33" t="s">
        <v>116</v>
      </c>
      <c r="AF34" t="s">
        <v>16</v>
      </c>
      <c r="AJ34" t="s">
        <v>16</v>
      </c>
      <c r="AK34">
        <f t="shared" si="0"/>
        <v>0</v>
      </c>
      <c r="AL34" s="13">
        <f t="shared" si="0"/>
        <v>0</v>
      </c>
      <c r="AM34" s="15" t="e">
        <f>SUM(Table73567910[[#This Row],[MILES6]]/AN42)</f>
        <v>#DIV/0!</v>
      </c>
      <c r="AN34" s="19" t="e">
        <f>SUM(Table73567910[[#This Row],[Tax Paid Fuel (Gallons)]]-Table73567910[[#This Row],[Taxable Fuel (Gallons)]])</f>
        <v>#DIV/0!</v>
      </c>
      <c r="AO34" s="12">
        <v>0.28000000000000003</v>
      </c>
      <c r="AP34" s="14" t="e">
        <f>SUM(Table73567910[[#This Row],[Net Taxable Fuel (Gallons)]]*Table73567910[[#This Row],[Tax Rate]])</f>
        <v>#DIV/0!</v>
      </c>
    </row>
    <row r="35" spans="1:42" x14ac:dyDescent="0.15">
      <c r="A35">
        <v>2013</v>
      </c>
      <c r="B35" t="s">
        <v>30</v>
      </c>
      <c r="F35">
        <v>2015</v>
      </c>
      <c r="G35" t="s">
        <v>30</v>
      </c>
      <c r="K35">
        <v>2017</v>
      </c>
      <c r="L35" t="s">
        <v>30</v>
      </c>
      <c r="P35">
        <v>2019</v>
      </c>
      <c r="Q35" t="s">
        <v>30</v>
      </c>
      <c r="U35">
        <v>2016</v>
      </c>
      <c r="V35" t="s">
        <v>30</v>
      </c>
      <c r="Z35">
        <v>55</v>
      </c>
      <c r="AA35" t="s">
        <v>30</v>
      </c>
      <c r="AE35" s="33" t="s">
        <v>116</v>
      </c>
      <c r="AF35" t="s">
        <v>30</v>
      </c>
      <c r="AJ35" t="s">
        <v>30</v>
      </c>
      <c r="AK35">
        <f t="shared" si="0"/>
        <v>0</v>
      </c>
      <c r="AL35" s="13">
        <f t="shared" si="0"/>
        <v>0</v>
      </c>
      <c r="AM35" s="15" t="e">
        <f>SUM(Table73567910[[#This Row],[MILES6]]/AN42)</f>
        <v>#DIV/0!</v>
      </c>
      <c r="AN35" s="19" t="e">
        <f>SUM(Table73567910[[#This Row],[Tax Paid Fuel (Gallons)]]-Table73567910[[#This Row],[Taxable Fuel (Gallons)]])</f>
        <v>#DIV/0!</v>
      </c>
      <c r="AO35" s="12">
        <v>0.27</v>
      </c>
      <c r="AP35" s="14" t="e">
        <f>SUM(Table73567910[[#This Row],[Net Taxable Fuel (Gallons)]]*Table73567910[[#This Row],[Tax Rate]])</f>
        <v>#DIV/0!</v>
      </c>
    </row>
    <row r="36" spans="1:42" x14ac:dyDescent="0.15">
      <c r="A36">
        <v>2013</v>
      </c>
      <c r="B36" t="s">
        <v>17</v>
      </c>
      <c r="F36">
        <v>2015</v>
      </c>
      <c r="G36" t="s">
        <v>17</v>
      </c>
      <c r="K36">
        <v>2017</v>
      </c>
      <c r="L36" t="s">
        <v>17</v>
      </c>
      <c r="P36">
        <v>2019</v>
      </c>
      <c r="Q36" t="s">
        <v>17</v>
      </c>
      <c r="U36">
        <v>2016</v>
      </c>
      <c r="V36" t="s">
        <v>17</v>
      </c>
      <c r="Z36">
        <v>55</v>
      </c>
      <c r="AA36" t="s">
        <v>17</v>
      </c>
      <c r="AE36" s="33" t="s">
        <v>116</v>
      </c>
      <c r="AF36" t="s">
        <v>17</v>
      </c>
      <c r="AJ36" t="s">
        <v>17</v>
      </c>
      <c r="AK36">
        <f t="shared" si="0"/>
        <v>0</v>
      </c>
      <c r="AL36" s="13">
        <f t="shared" si="0"/>
        <v>0</v>
      </c>
      <c r="AM36" s="15" t="e">
        <f>SUM(Table73567910[[#This Row],[MILES6]]/AN42)</f>
        <v>#DIV/0!</v>
      </c>
      <c r="AN36" s="19" t="e">
        <f>SUM(Table73567910[[#This Row],[Tax Paid Fuel (Gallons)]]-Table73567910[[#This Row],[Taxable Fuel (Gallons)]])</f>
        <v>#DIV/0!</v>
      </c>
      <c r="AO36" s="12">
        <v>0.2</v>
      </c>
      <c r="AP36" s="14" t="e">
        <f>SUM(Table73567910[[#This Row],[Net Taxable Fuel (Gallons)]]*Table73567910[[#This Row],[Tax Rate]])</f>
        <v>#DIV/0!</v>
      </c>
    </row>
    <row r="37" spans="1:42" x14ac:dyDescent="0.15">
      <c r="A37">
        <v>2013</v>
      </c>
      <c r="B37" t="s">
        <v>7</v>
      </c>
      <c r="F37">
        <v>2015</v>
      </c>
      <c r="G37" t="s">
        <v>7</v>
      </c>
      <c r="K37">
        <v>2017</v>
      </c>
      <c r="L37" t="s">
        <v>7</v>
      </c>
      <c r="P37">
        <v>2019</v>
      </c>
      <c r="Q37" t="s">
        <v>7</v>
      </c>
      <c r="U37">
        <v>2016</v>
      </c>
      <c r="V37" t="s">
        <v>7</v>
      </c>
      <c r="Z37">
        <v>55</v>
      </c>
      <c r="AA37" t="s">
        <v>7</v>
      </c>
      <c r="AE37" s="33" t="s">
        <v>116</v>
      </c>
      <c r="AF37" t="s">
        <v>7</v>
      </c>
      <c r="AJ37" t="s">
        <v>7</v>
      </c>
      <c r="AK37">
        <f t="shared" si="0"/>
        <v>0</v>
      </c>
      <c r="AL37" s="13">
        <f t="shared" si="0"/>
        <v>0</v>
      </c>
      <c r="AM37" s="15" t="e">
        <f>SUM(Table73567910[[#This Row],[MILES6]]/AN42)</f>
        <v>#DIV/0!</v>
      </c>
      <c r="AN37" s="19" t="e">
        <f>SUM(Table73567910[[#This Row],[Tax Paid Fuel (Gallons)]]-Table73567910[[#This Row],[Taxable Fuel (Gallons)]])</f>
        <v>#DIV/0!</v>
      </c>
      <c r="AO37" s="12">
        <v>0.38500000000000001</v>
      </c>
      <c r="AP37" s="14" t="e">
        <f>SUM(Table73567910[[#This Row],[Net Taxable Fuel (Gallons)]]*Table73567910[[#This Row],[Tax Rate]])</f>
        <v>#DIV/0!</v>
      </c>
    </row>
    <row r="38" spans="1:42" x14ac:dyDescent="0.15">
      <c r="A38">
        <v>2013</v>
      </c>
      <c r="B38" t="s">
        <v>56</v>
      </c>
      <c r="F38">
        <v>2015</v>
      </c>
      <c r="G38" t="s">
        <v>56</v>
      </c>
      <c r="K38">
        <v>2017</v>
      </c>
      <c r="L38" t="s">
        <v>56</v>
      </c>
      <c r="P38">
        <v>2019</v>
      </c>
      <c r="Q38" t="s">
        <v>56</v>
      </c>
      <c r="U38">
        <v>2016</v>
      </c>
      <c r="V38" t="s">
        <v>56</v>
      </c>
      <c r="Z38">
        <v>55</v>
      </c>
      <c r="AA38" t="s">
        <v>56</v>
      </c>
      <c r="AE38" s="33" t="s">
        <v>116</v>
      </c>
      <c r="AF38" t="s">
        <v>56</v>
      </c>
      <c r="AJ38" t="s">
        <v>56</v>
      </c>
      <c r="AK38">
        <f t="shared" si="0"/>
        <v>0</v>
      </c>
      <c r="AL38" s="13">
        <f t="shared" si="0"/>
        <v>0</v>
      </c>
      <c r="AM38" s="15" t="e">
        <f>SUM(Table73567910[[#This Row],[MILES6]]/AN42)</f>
        <v>#DIV/0!</v>
      </c>
      <c r="AN38" s="19" t="e">
        <f>SUM(Table73567910[[#This Row],[Tax Paid Fuel (Gallons)]]-Table73567910[[#This Row],[Taxable Fuel (Gallons)]])</f>
        <v>#DIV/0!</v>
      </c>
      <c r="AO38" s="12">
        <v>0.318</v>
      </c>
      <c r="AP38" s="14" t="e">
        <f>SUM(Table73567910[[#This Row],[Net Taxable Fuel (Gallons)]]*Table73567910[[#This Row],[Tax Rate]])</f>
        <v>#DIV/0!</v>
      </c>
    </row>
    <row r="39" spans="1:42" x14ac:dyDescent="0.15">
      <c r="A39">
        <v>2013</v>
      </c>
      <c r="B39" t="s">
        <v>8</v>
      </c>
      <c r="F39">
        <v>2015</v>
      </c>
      <c r="G39" t="s">
        <v>8</v>
      </c>
      <c r="K39">
        <v>2017</v>
      </c>
      <c r="L39" t="s">
        <v>8</v>
      </c>
      <c r="P39">
        <v>2019</v>
      </c>
      <c r="Q39" t="s">
        <v>8</v>
      </c>
      <c r="U39">
        <v>2016</v>
      </c>
      <c r="V39" t="s">
        <v>8</v>
      </c>
      <c r="Z39">
        <v>55</v>
      </c>
      <c r="AA39" t="s">
        <v>8</v>
      </c>
      <c r="AE39" s="33" t="s">
        <v>116</v>
      </c>
      <c r="AF39" t="s">
        <v>8</v>
      </c>
      <c r="AJ39" t="s">
        <v>8</v>
      </c>
      <c r="AK39">
        <f t="shared" si="0"/>
        <v>0</v>
      </c>
      <c r="AL39" s="13">
        <f t="shared" si="0"/>
        <v>0</v>
      </c>
      <c r="AM39" s="15" t="e">
        <f>SUM(Table73567910[[#This Row],[MILES6]]/AN42)</f>
        <v>#DIV/0!</v>
      </c>
      <c r="AN39" s="19" t="e">
        <f>SUM(Table73567910[[#This Row],[Tax Paid Fuel (Gallons)]]-Table73567910[[#This Row],[Taxable Fuel (Gallons)]])</f>
        <v>#DIV/0!</v>
      </c>
      <c r="AO39" s="12">
        <v>0.495</v>
      </c>
      <c r="AP39" s="14" t="e">
        <f>SUM(Table73567910[[#This Row],[Net Taxable Fuel (Gallons)]]*Table73567910[[#This Row],[Tax Rate]])</f>
        <v>#DIV/0!</v>
      </c>
    </row>
    <row r="40" spans="1:42" x14ac:dyDescent="0.15">
      <c r="A40">
        <v>2013</v>
      </c>
      <c r="B40" t="s">
        <v>18</v>
      </c>
      <c r="F40">
        <v>2015</v>
      </c>
      <c r="G40" t="s">
        <v>18</v>
      </c>
      <c r="K40">
        <v>2017</v>
      </c>
      <c r="L40" t="s">
        <v>18</v>
      </c>
      <c r="P40">
        <v>2019</v>
      </c>
      <c r="Q40" t="s">
        <v>18</v>
      </c>
      <c r="U40">
        <v>2016</v>
      </c>
      <c r="V40" t="s">
        <v>18</v>
      </c>
      <c r="Z40">
        <v>55</v>
      </c>
      <c r="AA40" t="s">
        <v>18</v>
      </c>
      <c r="AE40" s="33" t="s">
        <v>116</v>
      </c>
      <c r="AF40" t="s">
        <v>18</v>
      </c>
      <c r="AJ40" t="s">
        <v>18</v>
      </c>
      <c r="AK40">
        <f t="shared" si="0"/>
        <v>0</v>
      </c>
      <c r="AL40" s="13">
        <f t="shared" si="0"/>
        <v>0</v>
      </c>
      <c r="AM40" s="15">
        <f>SUM(AM76)</f>
        <v>0</v>
      </c>
      <c r="AN40" s="19">
        <f>SUM(Table73567910[[#This Row],[Tax Paid Fuel (Gallons)]]-Table73567910[[#This Row],[Taxable Fuel (Gallons)]])</f>
        <v>0</v>
      </c>
      <c r="AO40" s="12">
        <v>0.24</v>
      </c>
      <c r="AP40" s="14">
        <f>SUM(Table73567910[[#This Row],[Net Taxable Fuel (Gallons)]]*Table73567910[[#This Row],[Tax Rate]])</f>
        <v>0</v>
      </c>
    </row>
    <row r="41" spans="1:42" x14ac:dyDescent="0.15">
      <c r="A41">
        <v>2013</v>
      </c>
      <c r="B41" s="7" t="s">
        <v>58</v>
      </c>
      <c r="F41">
        <v>2015</v>
      </c>
      <c r="G41" s="7" t="s">
        <v>58</v>
      </c>
      <c r="K41">
        <v>2017</v>
      </c>
      <c r="L41" s="7" t="s">
        <v>58</v>
      </c>
      <c r="P41">
        <v>2019</v>
      </c>
      <c r="Q41" s="7" t="s">
        <v>58</v>
      </c>
      <c r="U41">
        <v>2016</v>
      </c>
      <c r="V41" s="7" t="s">
        <v>58</v>
      </c>
      <c r="Z41">
        <v>55</v>
      </c>
      <c r="AA41" s="7" t="s">
        <v>58</v>
      </c>
      <c r="AE41" s="33" t="s">
        <v>116</v>
      </c>
      <c r="AF41" s="7" t="s">
        <v>58</v>
      </c>
      <c r="AJ41" s="7" t="s">
        <v>58</v>
      </c>
      <c r="AK41">
        <f t="shared" si="0"/>
        <v>0</v>
      </c>
      <c r="AL41" s="13">
        <f t="shared" si="0"/>
        <v>0</v>
      </c>
      <c r="AM41" s="15" t="e">
        <f>SUM(Table73567910[[#This Row],[MILES6]]/AN42)</f>
        <v>#DIV/0!</v>
      </c>
      <c r="AN41" s="19" t="e">
        <f>SUM(Table73567910[[#This Row],[Tax Paid Fuel (Gallons)]]-Table73567910[[#This Row],[Taxable Fuel (Gallons)]])</f>
        <v>#DIV/0!</v>
      </c>
      <c r="AO41" s="12">
        <v>0.32900000000000001</v>
      </c>
      <c r="AP41" s="14" t="e">
        <f>SUM(Table73567910[[#This Row],[Net Taxable Fuel (Gallons)]]*Table73567910[[#This Row],[Tax Rate]])</f>
        <v>#DIV/0!</v>
      </c>
    </row>
    <row r="42" spans="1:42" x14ac:dyDescent="0.15">
      <c r="A42">
        <v>2013</v>
      </c>
      <c r="B42" t="s">
        <v>9</v>
      </c>
      <c r="C42">
        <f>SUM(C7:C41)</f>
        <v>0</v>
      </c>
      <c r="D42">
        <f>SUM(D7:D41)</f>
        <v>0</v>
      </c>
      <c r="E42" t="e">
        <f>SUM(C42/D42)</f>
        <v>#DIV/0!</v>
      </c>
      <c r="F42">
        <v>2015</v>
      </c>
      <c r="G42" t="s">
        <v>9</v>
      </c>
      <c r="H42">
        <f>SUM(H7:H41)</f>
        <v>0</v>
      </c>
      <c r="I42">
        <f>SUM(I7:I41)</f>
        <v>0</v>
      </c>
      <c r="J42" t="e">
        <f>SUM(H42/I42)</f>
        <v>#DIV/0!</v>
      </c>
      <c r="K42">
        <v>2017</v>
      </c>
      <c r="L42" t="s">
        <v>9</v>
      </c>
      <c r="M42">
        <f>SUM(M7:M41)</f>
        <v>0</v>
      </c>
      <c r="N42">
        <f>SUM(N7:N41)</f>
        <v>0</v>
      </c>
      <c r="O42" t="e">
        <f>SUM(M42/N42)</f>
        <v>#DIV/0!</v>
      </c>
      <c r="P42">
        <v>2019</v>
      </c>
      <c r="Q42" t="s">
        <v>9</v>
      </c>
      <c r="R42">
        <f>SUM(R7:R41)</f>
        <v>0</v>
      </c>
      <c r="S42">
        <f>SUM(S7:S41)</f>
        <v>0</v>
      </c>
      <c r="T42" t="e">
        <f>SUM(R42/S42)</f>
        <v>#DIV/0!</v>
      </c>
      <c r="U42">
        <v>2016</v>
      </c>
      <c r="V42" t="s">
        <v>9</v>
      </c>
      <c r="W42">
        <f>SUM(W7:W41)</f>
        <v>0</v>
      </c>
      <c r="X42">
        <f>SUM(X7:X41)</f>
        <v>0</v>
      </c>
      <c r="Y42" t="e">
        <f>SUM(Table73567910[[#This Row],[MILES2]]/Table73567910[[#This Row],[GALLONS2]])</f>
        <v>#DIV/0!</v>
      </c>
      <c r="Z42">
        <v>55</v>
      </c>
      <c r="AA42" t="s">
        <v>9</v>
      </c>
      <c r="AB42">
        <f>SUM(AB7:AB41)</f>
        <v>0</v>
      </c>
      <c r="AC42">
        <f>SUM(AC7:AC41)</f>
        <v>0</v>
      </c>
      <c r="AD42" t="e">
        <f>SUM(Table73567910[[#This Row],[MILES7]]/Table73567910[[#This Row],[GALLONS3]])</f>
        <v>#DIV/0!</v>
      </c>
      <c r="AE42" s="33" t="s">
        <v>116</v>
      </c>
      <c r="AF42" t="s">
        <v>9</v>
      </c>
      <c r="AG42">
        <f>SUM(AG7:AG41)</f>
        <v>0</v>
      </c>
      <c r="AH42">
        <f>SUM(AH7:AH41)</f>
        <v>0</v>
      </c>
      <c r="AI42" t="e">
        <f>SUM(Table73567910[[#This Row],[MILES8]]/Table73567910[[#This Row],[GALLONS7]])</f>
        <v>#DIV/0!</v>
      </c>
      <c r="AJ42" t="s">
        <v>9</v>
      </c>
      <c r="AK42">
        <f t="shared" si="0"/>
        <v>0</v>
      </c>
      <c r="AL42" s="13">
        <f>SUM(AL7:AL41)</f>
        <v>0</v>
      </c>
      <c r="AM42" s="15">
        <f t="shared" ref="AM42:AM49" si="1">SUM(AM78)</f>
        <v>0</v>
      </c>
      <c r="AN42" s="17" t="e">
        <f>SUM(AK42/AL42)</f>
        <v>#DIV/0!</v>
      </c>
      <c r="AP42" s="12" t="e">
        <f>SUM(Table73567910[[#This Row],[Net Taxable Fuel (Gallons)]]*Table73567910[[#This Row],[Tax Rate]])</f>
        <v>#DIV/0!</v>
      </c>
    </row>
    <row r="43" spans="1:42" x14ac:dyDescent="0.15">
      <c r="E43" s="35" t="s">
        <v>39</v>
      </c>
      <c r="J43" s="35" t="s">
        <v>39</v>
      </c>
      <c r="O43" s="35" t="s">
        <v>39</v>
      </c>
      <c r="T43" s="35" t="s">
        <v>39</v>
      </c>
      <c r="Y43" s="35" t="s">
        <v>39</v>
      </c>
      <c r="AD43" s="13" t="s">
        <v>39</v>
      </c>
      <c r="AI43" s="35" t="s">
        <v>39</v>
      </c>
      <c r="AL43" s="13"/>
      <c r="AM43">
        <f t="shared" si="1"/>
        <v>0</v>
      </c>
      <c r="AN43" s="13" t="s">
        <v>39</v>
      </c>
      <c r="AP43" s="12"/>
    </row>
    <row r="44" spans="1:42" ht="24" x14ac:dyDescent="0.15">
      <c r="A44" s="6"/>
      <c r="F44" s="29"/>
      <c r="J44" s="3" t="s">
        <v>57</v>
      </c>
      <c r="K44" s="30"/>
      <c r="P44" s="6"/>
      <c r="AK44">
        <f t="shared" ref="AK44:AL49" si="2">SUM(C44,H44,M44,R44)</f>
        <v>0</v>
      </c>
      <c r="AL44" s="13">
        <f t="shared" si="2"/>
        <v>0</v>
      </c>
      <c r="AM44">
        <f t="shared" si="1"/>
        <v>0</v>
      </c>
      <c r="AN44" s="18">
        <f>SUM(Table73567910[[#This Row],[2013]],Table73567910[[#This Row],[2015]],Table73567910[[#This Row],[2017]],Table73567910[[#This Row],[2019]])</f>
        <v>0</v>
      </c>
      <c r="AO44" s="10"/>
      <c r="AP44" s="20"/>
    </row>
    <row r="45" spans="1:42" x14ac:dyDescent="0.15">
      <c r="F45" s="3"/>
      <c r="Z45" t="s">
        <v>26</v>
      </c>
      <c r="AE45" t="s">
        <v>26</v>
      </c>
      <c r="AK45">
        <f t="shared" si="2"/>
        <v>0</v>
      </c>
      <c r="AL45" s="13">
        <f t="shared" si="2"/>
        <v>0</v>
      </c>
      <c r="AM45">
        <f t="shared" si="1"/>
        <v>0</v>
      </c>
      <c r="AN45" s="13"/>
      <c r="AP45" s="14"/>
    </row>
    <row r="46" spans="1:42" x14ac:dyDescent="0.15">
      <c r="A46" s="5" t="s">
        <v>26</v>
      </c>
      <c r="F46" t="s">
        <v>26</v>
      </c>
      <c r="K46" t="s">
        <v>26</v>
      </c>
      <c r="P46" t="s">
        <v>26</v>
      </c>
      <c r="U46" t="s">
        <v>26</v>
      </c>
      <c r="Z46" t="s">
        <v>14</v>
      </c>
      <c r="AE46" t="s">
        <v>14</v>
      </c>
      <c r="AK46">
        <f t="shared" si="2"/>
        <v>0</v>
      </c>
      <c r="AL46" s="13">
        <f t="shared" si="2"/>
        <v>0</v>
      </c>
      <c r="AM46">
        <f t="shared" si="1"/>
        <v>0</v>
      </c>
      <c r="AN46" s="13"/>
      <c r="AP46" s="14">
        <f>SUM(Table73567910[[#This Row],[Net Taxable Fuel (Gallons)]]*Table73567910[[#This Row],[Tax Rate]])</f>
        <v>0</v>
      </c>
    </row>
    <row r="47" spans="1:42" x14ac:dyDescent="0.15">
      <c r="A47" s="6" t="s">
        <v>14</v>
      </c>
      <c r="F47" s="7" t="s">
        <v>14</v>
      </c>
      <c r="G47" s="7"/>
      <c r="K47" t="s">
        <v>14</v>
      </c>
      <c r="P47" t="s">
        <v>14</v>
      </c>
      <c r="U47" t="s">
        <v>14</v>
      </c>
      <c r="Z47" s="6" t="s">
        <v>66</v>
      </c>
      <c r="AE47" s="6" t="s">
        <v>66</v>
      </c>
      <c r="AK47">
        <f t="shared" si="2"/>
        <v>0</v>
      </c>
      <c r="AL47" s="13">
        <f t="shared" si="2"/>
        <v>0</v>
      </c>
      <c r="AM47">
        <f t="shared" si="1"/>
        <v>0</v>
      </c>
      <c r="AN47" s="13"/>
      <c r="AP47" s="14">
        <f>SUM(Table73567910[[#This Row],[Net Taxable Fuel (Gallons)]]*Table73567910[[#This Row],[Tax Rate]])</f>
        <v>0</v>
      </c>
    </row>
    <row r="48" spans="1:42" x14ac:dyDescent="0.15">
      <c r="A48" s="21" t="s">
        <v>66</v>
      </c>
      <c r="F48" s="22" t="s">
        <v>66</v>
      </c>
      <c r="J48" s="6"/>
      <c r="K48" s="6" t="s">
        <v>66</v>
      </c>
      <c r="P48" s="6" t="s">
        <v>66</v>
      </c>
      <c r="U48" s="6" t="s">
        <v>66</v>
      </c>
      <c r="Z48" t="s">
        <v>65</v>
      </c>
      <c r="AE48" t="s">
        <v>65</v>
      </c>
      <c r="AK48">
        <f t="shared" si="2"/>
        <v>0</v>
      </c>
      <c r="AL48" s="13">
        <f t="shared" si="2"/>
        <v>0</v>
      </c>
      <c r="AM48">
        <f t="shared" si="1"/>
        <v>0</v>
      </c>
      <c r="AN48" s="13"/>
      <c r="AP48" s="14">
        <f>SUM(Table73567910[[#This Row],[Net Taxable Fuel (Gallons)]]*Table73567910[[#This Row],[Tax Rate]])</f>
        <v>0</v>
      </c>
    </row>
    <row r="49" spans="1:42" x14ac:dyDescent="0.15">
      <c r="A49" t="s">
        <v>65</v>
      </c>
      <c r="F49" t="s">
        <v>65</v>
      </c>
      <c r="K49" t="s">
        <v>65</v>
      </c>
      <c r="P49" t="s">
        <v>65</v>
      </c>
      <c r="U49" t="s">
        <v>65</v>
      </c>
      <c r="AK49">
        <f t="shared" si="2"/>
        <v>0</v>
      </c>
      <c r="AL49" s="13">
        <f t="shared" si="2"/>
        <v>0</v>
      </c>
      <c r="AM49">
        <f t="shared" si="1"/>
        <v>0</v>
      </c>
      <c r="AN49" s="13"/>
      <c r="AP49" s="14">
        <f>SUM(Table73567910[[#This Row],[Net Taxable Fuel (Gallons)]]*Table73567910[[#This Row],[Tax Rate]])</f>
        <v>0</v>
      </c>
    </row>
  </sheetData>
  <phoneticPr fontId="6" alignment="center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Q1</vt:lpstr>
      <vt:lpstr>Q2</vt:lpstr>
      <vt:lpstr>Q2 FUEL USED</vt:lpstr>
      <vt:lpstr>Q3 Fuel USED</vt:lpstr>
      <vt:lpstr>Q3</vt:lpstr>
      <vt:lpstr>Q4</vt:lpstr>
      <vt:lpstr>RENEWAL REGISTRATION 2026</vt:lpstr>
      <vt:lpstr>Q1 2026 </vt:lpstr>
      <vt:lpstr>Q2 2026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Davyd Maksymchuk</dc:creator>
  <cp:lastModifiedBy>Davyd Maksymchuk</cp:lastModifiedBy>
  <cp:lastPrinted>2026-01-19T09:00:23Z</cp:lastPrinted>
  <dcterms:created xsi:type="dcterms:W3CDTF">2024-12-31T05:19:54Z</dcterms:created>
  <dcterms:modified xsi:type="dcterms:W3CDTF">2026-04-27T07:42:34Z</dcterms:modified>
</cp:coreProperties>
</file>